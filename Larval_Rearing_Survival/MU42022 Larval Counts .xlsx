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s/Documents/MSc/MU42022 larval counts/"/>
    </mc:Choice>
  </mc:AlternateContent>
  <xr:revisionPtr revIDLastSave="0" documentId="13_ncr:1_{51671270-1ED0-A748-99F7-B6AC77412752}" xr6:coauthVersionLast="47" xr6:coauthVersionMax="47" xr10:uidLastSave="{00000000-0000-0000-0000-000000000000}"/>
  <bookViews>
    <workbookView xWindow="0" yWindow="780" windowWidth="34200" windowHeight="19660" activeTab="5" xr2:uid="{9F7509DE-7478-7B42-A080-D27CEAD7721A}"/>
  </bookViews>
  <sheets>
    <sheet name="Well Plate Layout" sheetId="1" r:id="rId1"/>
    <sheet name="Larval Counts" sheetId="2" r:id="rId2"/>
    <sheet name="% Survival (Larval Counts)" sheetId="4" r:id="rId3"/>
    <sheet name="% Survival (Deep Bay Counts)" sheetId="5" r:id="rId4"/>
    <sheet name="Tank Count Totals" sheetId="3" r:id="rId5"/>
    <sheet name="Deep Bay Sizes" sheetId="7" r:id="rId6"/>
    <sheet name="Counts_MU42022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4" i="3" l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" i="6"/>
  <c r="U3" i="3"/>
  <c r="F13" i="4"/>
  <c r="U5" i="3" l="1"/>
  <c r="V6" i="3"/>
  <c r="Y12" i="3"/>
  <c r="V12" i="3"/>
  <c r="W12" i="3"/>
  <c r="X12" i="3"/>
  <c r="U12" i="3"/>
  <c r="Y11" i="3"/>
  <c r="V11" i="3"/>
  <c r="W11" i="3"/>
  <c r="X11" i="3"/>
  <c r="U11" i="3"/>
  <c r="Y10" i="3"/>
  <c r="Y9" i="3"/>
  <c r="V10" i="3"/>
  <c r="W10" i="3"/>
  <c r="X10" i="3"/>
  <c r="U10" i="3"/>
  <c r="V9" i="3"/>
  <c r="W9" i="3"/>
  <c r="X9" i="3"/>
  <c r="U9" i="3"/>
  <c r="W5" i="3"/>
  <c r="X4" i="3"/>
  <c r="W4" i="3"/>
  <c r="V4" i="3"/>
  <c r="W6" i="3"/>
  <c r="U6" i="3"/>
  <c r="Y6" i="3"/>
  <c r="X6" i="3"/>
  <c r="Y5" i="3"/>
  <c r="V5" i="3"/>
  <c r="X5" i="3"/>
  <c r="U4" i="3"/>
  <c r="V3" i="3"/>
  <c r="W3" i="3"/>
  <c r="X3" i="3"/>
  <c r="Y3" i="3"/>
  <c r="N16" i="5"/>
  <c r="O16" i="5"/>
  <c r="N17" i="5"/>
  <c r="O17" i="5"/>
  <c r="N18" i="5"/>
  <c r="O18" i="5"/>
  <c r="N19" i="5"/>
  <c r="O19" i="5"/>
  <c r="N20" i="5"/>
  <c r="O20" i="5"/>
  <c r="M16" i="5"/>
  <c r="M17" i="5"/>
  <c r="M18" i="5"/>
  <c r="M19" i="5"/>
  <c r="M20" i="5"/>
  <c r="I16" i="5"/>
  <c r="I17" i="5"/>
  <c r="I18" i="5"/>
  <c r="I19" i="5"/>
  <c r="I20" i="5"/>
  <c r="I16" i="4"/>
  <c r="H13" i="4"/>
  <c r="I13" i="4"/>
  <c r="J13" i="4"/>
  <c r="L13" i="4"/>
  <c r="M13" i="4"/>
  <c r="N13" i="4"/>
  <c r="O13" i="4"/>
  <c r="P13" i="4"/>
  <c r="T13" i="4"/>
  <c r="X13" i="4"/>
  <c r="F14" i="4"/>
  <c r="G14" i="4"/>
  <c r="H14" i="4"/>
  <c r="I14" i="4"/>
  <c r="J14" i="4"/>
  <c r="K14" i="4"/>
  <c r="L14" i="4"/>
  <c r="M14" i="4"/>
  <c r="N14" i="4"/>
  <c r="O14" i="4"/>
  <c r="P14" i="4"/>
  <c r="T14" i="4"/>
  <c r="X14" i="4"/>
  <c r="F15" i="4"/>
  <c r="G15" i="4"/>
  <c r="H15" i="4"/>
  <c r="I15" i="4"/>
  <c r="J15" i="4"/>
  <c r="K15" i="4"/>
  <c r="L15" i="4"/>
  <c r="M15" i="4"/>
  <c r="N15" i="4"/>
  <c r="O15" i="4"/>
  <c r="P15" i="4"/>
  <c r="T15" i="4"/>
  <c r="X15" i="4"/>
  <c r="F16" i="4"/>
  <c r="G16" i="4"/>
  <c r="H16" i="4"/>
  <c r="J16" i="4"/>
  <c r="K16" i="4"/>
  <c r="L16" i="4"/>
  <c r="M16" i="4"/>
  <c r="N16" i="4"/>
  <c r="O16" i="4"/>
  <c r="P16" i="4"/>
  <c r="T16" i="4"/>
  <c r="X16" i="4"/>
  <c r="T188" i="2"/>
  <c r="S188" i="2"/>
  <c r="R188" i="2"/>
  <c r="Q188" i="2"/>
  <c r="U180" i="2" s="1"/>
  <c r="U183" i="2" s="1"/>
  <c r="O188" i="2"/>
  <c r="N188" i="2"/>
  <c r="M188" i="2"/>
  <c r="L188" i="2"/>
  <c r="J188" i="2"/>
  <c r="I188" i="2"/>
  <c r="H188" i="2"/>
  <c r="G188" i="2"/>
  <c r="E188" i="2"/>
  <c r="D188" i="2"/>
  <c r="C188" i="2"/>
  <c r="B188" i="2"/>
  <c r="T177" i="2"/>
  <c r="S177" i="2"/>
  <c r="R177" i="2"/>
  <c r="Q177" i="2"/>
  <c r="U169" i="2" s="1"/>
  <c r="U172" i="2" s="1"/>
  <c r="O177" i="2"/>
  <c r="N177" i="2"/>
  <c r="M177" i="2"/>
  <c r="L177" i="2"/>
  <c r="J177" i="2"/>
  <c r="I177" i="2"/>
  <c r="H177" i="2"/>
  <c r="G177" i="2"/>
  <c r="K169" i="2" s="1"/>
  <c r="K172" i="2" s="1"/>
  <c r="E177" i="2"/>
  <c r="D177" i="2"/>
  <c r="C177" i="2"/>
  <c r="B177" i="2"/>
  <c r="T166" i="2"/>
  <c r="S166" i="2"/>
  <c r="R166" i="2"/>
  <c r="Q166" i="2"/>
  <c r="O166" i="2"/>
  <c r="N166" i="2"/>
  <c r="M166" i="2"/>
  <c r="L166" i="2"/>
  <c r="J166" i="2"/>
  <c r="I166" i="2"/>
  <c r="H166" i="2"/>
  <c r="G166" i="2"/>
  <c r="E166" i="2"/>
  <c r="D166" i="2"/>
  <c r="C166" i="2"/>
  <c r="B166" i="2"/>
  <c r="T155" i="2"/>
  <c r="S155" i="2"/>
  <c r="R155" i="2"/>
  <c r="Q155" i="2"/>
  <c r="U147" i="2" s="1"/>
  <c r="U150" i="2" s="1"/>
  <c r="O155" i="2"/>
  <c r="N155" i="2"/>
  <c r="M155" i="2"/>
  <c r="L155" i="2"/>
  <c r="J155" i="2"/>
  <c r="I155" i="2"/>
  <c r="H155" i="2"/>
  <c r="G155" i="2"/>
  <c r="E155" i="2"/>
  <c r="D155" i="2"/>
  <c r="C155" i="2"/>
  <c r="B155" i="2"/>
  <c r="T144" i="2"/>
  <c r="S144" i="2"/>
  <c r="R144" i="2"/>
  <c r="Q144" i="2"/>
  <c r="O144" i="2"/>
  <c r="N144" i="2"/>
  <c r="M144" i="2"/>
  <c r="L144" i="2"/>
  <c r="J144" i="2"/>
  <c r="I144" i="2"/>
  <c r="H144" i="2"/>
  <c r="G144" i="2"/>
  <c r="E144" i="2"/>
  <c r="D144" i="2"/>
  <c r="C144" i="2"/>
  <c r="B144" i="2"/>
  <c r="T133" i="2"/>
  <c r="S133" i="2"/>
  <c r="R133" i="2"/>
  <c r="Q133" i="2"/>
  <c r="O133" i="2"/>
  <c r="N133" i="2"/>
  <c r="M133" i="2"/>
  <c r="L133" i="2"/>
  <c r="J133" i="2"/>
  <c r="I133" i="2"/>
  <c r="H133" i="2"/>
  <c r="G133" i="2"/>
  <c r="E133" i="2"/>
  <c r="D133" i="2"/>
  <c r="C133" i="2"/>
  <c r="B133" i="2"/>
  <c r="T122" i="2"/>
  <c r="S122" i="2"/>
  <c r="R122" i="2"/>
  <c r="Q122" i="2"/>
  <c r="U114" i="2" s="1"/>
  <c r="U117" i="2" s="1"/>
  <c r="O122" i="2"/>
  <c r="N122" i="2"/>
  <c r="M122" i="2"/>
  <c r="L122" i="2"/>
  <c r="J122" i="2"/>
  <c r="I122" i="2"/>
  <c r="H122" i="2"/>
  <c r="G122" i="2"/>
  <c r="E122" i="2"/>
  <c r="D122" i="2"/>
  <c r="C122" i="2"/>
  <c r="B122" i="2"/>
  <c r="T111" i="2"/>
  <c r="S111" i="2"/>
  <c r="R111" i="2"/>
  <c r="Q111" i="2"/>
  <c r="U103" i="2" s="1"/>
  <c r="U106" i="2" s="1"/>
  <c r="O111" i="2"/>
  <c r="N111" i="2"/>
  <c r="M111" i="2"/>
  <c r="L111" i="2"/>
  <c r="J111" i="2"/>
  <c r="I111" i="2"/>
  <c r="H111" i="2"/>
  <c r="G111" i="2"/>
  <c r="K103" i="2" s="1"/>
  <c r="K106" i="2" s="1"/>
  <c r="E111" i="2"/>
  <c r="D111" i="2"/>
  <c r="C111" i="2"/>
  <c r="B111" i="2"/>
  <c r="T100" i="2"/>
  <c r="S100" i="2"/>
  <c r="R100" i="2"/>
  <c r="Q100" i="2"/>
  <c r="U92" i="2" s="1"/>
  <c r="U95" i="2" s="1"/>
  <c r="O100" i="2"/>
  <c r="N100" i="2"/>
  <c r="M100" i="2"/>
  <c r="L100" i="2"/>
  <c r="J100" i="2"/>
  <c r="I100" i="2"/>
  <c r="H100" i="2"/>
  <c r="G100" i="2"/>
  <c r="K92" i="2" s="1"/>
  <c r="K95" i="2" s="1"/>
  <c r="E100" i="2"/>
  <c r="D100" i="2"/>
  <c r="C100" i="2"/>
  <c r="B100" i="2"/>
  <c r="T89" i="2"/>
  <c r="S89" i="2"/>
  <c r="R89" i="2"/>
  <c r="Q89" i="2"/>
  <c r="O89" i="2"/>
  <c r="N89" i="2"/>
  <c r="M89" i="2"/>
  <c r="L89" i="2"/>
  <c r="J89" i="2"/>
  <c r="I89" i="2"/>
  <c r="H89" i="2"/>
  <c r="G89" i="2"/>
  <c r="K81" i="2" s="1"/>
  <c r="K84" i="2" s="1"/>
  <c r="E89" i="2"/>
  <c r="D89" i="2"/>
  <c r="C89" i="2"/>
  <c r="B89" i="2"/>
  <c r="T78" i="2"/>
  <c r="S78" i="2"/>
  <c r="R78" i="2"/>
  <c r="Q78" i="2"/>
  <c r="O78" i="2"/>
  <c r="N78" i="2"/>
  <c r="M78" i="2"/>
  <c r="L78" i="2"/>
  <c r="J78" i="2"/>
  <c r="I78" i="2"/>
  <c r="H78" i="2"/>
  <c r="G78" i="2"/>
  <c r="E78" i="2"/>
  <c r="D78" i="2"/>
  <c r="C78" i="2"/>
  <c r="B78" i="2"/>
  <c r="T67" i="2"/>
  <c r="S67" i="2"/>
  <c r="R67" i="2"/>
  <c r="Q67" i="2"/>
  <c r="O67" i="2"/>
  <c r="N67" i="2"/>
  <c r="M67" i="2"/>
  <c r="L67" i="2"/>
  <c r="J67" i="2"/>
  <c r="I67" i="2"/>
  <c r="H67" i="2"/>
  <c r="G67" i="2"/>
  <c r="K59" i="2" s="1"/>
  <c r="K62" i="2" s="1"/>
  <c r="E67" i="2"/>
  <c r="F59" i="2" s="1"/>
  <c r="F62" i="2" s="1"/>
  <c r="D67" i="2"/>
  <c r="C67" i="2"/>
  <c r="B67" i="2"/>
  <c r="T56" i="2"/>
  <c r="S56" i="2"/>
  <c r="R56" i="2"/>
  <c r="Q56" i="2"/>
  <c r="O56" i="2"/>
  <c r="N56" i="2"/>
  <c r="M56" i="2"/>
  <c r="L56" i="2"/>
  <c r="J56" i="2"/>
  <c r="I56" i="2"/>
  <c r="H56" i="2"/>
  <c r="G56" i="2"/>
  <c r="K48" i="2" s="1"/>
  <c r="K51" i="2" s="1"/>
  <c r="E56" i="2"/>
  <c r="D56" i="2"/>
  <c r="C56" i="2"/>
  <c r="B56" i="2"/>
  <c r="T45" i="2"/>
  <c r="S45" i="2"/>
  <c r="R45" i="2"/>
  <c r="Q45" i="2"/>
  <c r="U37" i="2" s="1"/>
  <c r="U40" i="2" s="1"/>
  <c r="O45" i="2"/>
  <c r="N45" i="2"/>
  <c r="M45" i="2"/>
  <c r="L45" i="2"/>
  <c r="J45" i="2"/>
  <c r="I45" i="2"/>
  <c r="H45" i="2"/>
  <c r="G45" i="2"/>
  <c r="K37" i="2" s="1"/>
  <c r="K40" i="2" s="1"/>
  <c r="E45" i="2"/>
  <c r="D45" i="2"/>
  <c r="C45" i="2"/>
  <c r="B45" i="2"/>
  <c r="T34" i="2"/>
  <c r="S34" i="2"/>
  <c r="R34" i="2"/>
  <c r="Q34" i="2"/>
  <c r="U26" i="2" s="1"/>
  <c r="U29" i="2" s="1"/>
  <c r="O34" i="2"/>
  <c r="N34" i="2"/>
  <c r="M34" i="2"/>
  <c r="L34" i="2"/>
  <c r="J34" i="2"/>
  <c r="I34" i="2"/>
  <c r="H34" i="2"/>
  <c r="G34" i="2"/>
  <c r="K26" i="2" s="1"/>
  <c r="K29" i="2" s="1"/>
  <c r="E34" i="2"/>
  <c r="D34" i="2"/>
  <c r="C34" i="2"/>
  <c r="B34" i="2"/>
  <c r="T23" i="2"/>
  <c r="S23" i="2"/>
  <c r="R23" i="2"/>
  <c r="Q23" i="2"/>
  <c r="O23" i="2"/>
  <c r="N23" i="2"/>
  <c r="M23" i="2"/>
  <c r="L23" i="2"/>
  <c r="J23" i="2"/>
  <c r="I23" i="2"/>
  <c r="H23" i="2"/>
  <c r="G23" i="2"/>
  <c r="K15" i="2" s="1"/>
  <c r="K18" i="2" s="1"/>
  <c r="E23" i="2"/>
  <c r="D23" i="2"/>
  <c r="C23" i="2"/>
  <c r="B23" i="2"/>
  <c r="T12" i="2"/>
  <c r="S12" i="2"/>
  <c r="R12" i="2"/>
  <c r="Q12" i="2"/>
  <c r="O12" i="2"/>
  <c r="N12" i="2"/>
  <c r="M12" i="2"/>
  <c r="L12" i="2"/>
  <c r="J12" i="2"/>
  <c r="I12" i="2"/>
  <c r="H12" i="2"/>
  <c r="G12" i="2"/>
  <c r="E12" i="2"/>
  <c r="D12" i="2"/>
  <c r="C12" i="2"/>
  <c r="B12" i="2"/>
  <c r="K158" i="2" l="1"/>
  <c r="K161" i="2" s="1"/>
  <c r="F15" i="2"/>
  <c r="F18" i="2" s="1"/>
  <c r="P15" i="2"/>
  <c r="P18" i="2" s="1"/>
  <c r="F37" i="2"/>
  <c r="F40" i="2" s="1"/>
  <c r="P37" i="2"/>
  <c r="P40" i="2" s="1"/>
  <c r="F125" i="2"/>
  <c r="F128" i="2" s="1"/>
  <c r="P125" i="2"/>
  <c r="P128" i="2" s="1"/>
  <c r="K147" i="2"/>
  <c r="K150" i="2" s="1"/>
  <c r="F180" i="2"/>
  <c r="F183" i="2" s="1"/>
  <c r="U81" i="2"/>
  <c r="U84" i="2" s="1"/>
  <c r="K114" i="2"/>
  <c r="K117" i="2" s="1"/>
  <c r="K125" i="2"/>
  <c r="K128" i="2" s="1"/>
  <c r="U125" i="2"/>
  <c r="U128" i="2" s="1"/>
  <c r="K136" i="2"/>
  <c r="K139" i="2" s="1"/>
  <c r="U136" i="2"/>
  <c r="U139" i="2" s="1"/>
  <c r="F48" i="2"/>
  <c r="F51" i="2" s="1"/>
  <c r="P70" i="2"/>
  <c r="P73" i="2" s="1"/>
  <c r="F81" i="2"/>
  <c r="F84" i="2" s="1"/>
  <c r="P81" i="2"/>
  <c r="P84" i="2" s="1"/>
  <c r="F92" i="2"/>
  <c r="F95" i="2" s="1"/>
  <c r="U158" i="2"/>
  <c r="U161" i="2" s="1"/>
  <c r="K4" i="2"/>
  <c r="K7" i="2" s="1"/>
  <c r="U4" i="2"/>
  <c r="U7" i="2" s="1"/>
  <c r="F26" i="2"/>
  <c r="F29" i="2" s="1"/>
  <c r="F103" i="2"/>
  <c r="F106" i="2" s="1"/>
  <c r="F114" i="2"/>
  <c r="F117" i="2" s="1"/>
  <c r="U59" i="2"/>
  <c r="U62" i="2" s="1"/>
  <c r="K70" i="2"/>
  <c r="K73" i="2" s="1"/>
  <c r="U70" i="2"/>
  <c r="U73" i="2" s="1"/>
  <c r="F147" i="2"/>
  <c r="F150" i="2" s="1"/>
  <c r="P147" i="2"/>
  <c r="P150" i="2" s="1"/>
  <c r="F158" i="2"/>
  <c r="F161" i="2" s="1"/>
  <c r="K180" i="2"/>
  <c r="K183" i="2" s="1"/>
  <c r="U15" i="2"/>
  <c r="U18" i="2" s="1"/>
  <c r="P180" i="2"/>
  <c r="P183" i="2" s="1"/>
  <c r="U48" i="2"/>
  <c r="U51" i="2" s="1"/>
  <c r="F169" i="2"/>
  <c r="F172" i="2" s="1"/>
  <c r="P48" i="2"/>
  <c r="P51" i="2" s="1"/>
  <c r="P26" i="2"/>
  <c r="P29" i="2" s="1"/>
  <c r="F136" i="2"/>
  <c r="F139" i="2" s="1"/>
  <c r="P169" i="2"/>
  <c r="P172" i="2" s="1"/>
  <c r="F4" i="2"/>
  <c r="F7" i="2" s="1"/>
  <c r="P4" i="2"/>
  <c r="P7" i="2" s="1"/>
  <c r="F70" i="2"/>
  <c r="F73" i="2" s="1"/>
  <c r="P103" i="2"/>
  <c r="P106" i="2" s="1"/>
  <c r="P136" i="2"/>
  <c r="P139" i="2" s="1"/>
  <c r="P114" i="2"/>
  <c r="P117" i="2" s="1"/>
  <c r="P158" i="2"/>
  <c r="P161" i="2" s="1"/>
  <c r="P59" i="2"/>
  <c r="P62" i="2" s="1"/>
  <c r="P92" i="2"/>
  <c r="P95" i="2" s="1"/>
  <c r="X17" i="5"/>
  <c r="X18" i="5"/>
  <c r="X19" i="5"/>
  <c r="X20" i="5"/>
  <c r="X16" i="5"/>
  <c r="T20" i="5"/>
  <c r="T17" i="5"/>
  <c r="T18" i="5"/>
  <c r="T19" i="5"/>
  <c r="T16" i="5"/>
  <c r="P17" i="5"/>
  <c r="P18" i="5"/>
  <c r="P19" i="5"/>
  <c r="P20" i="5"/>
  <c r="P16" i="5"/>
  <c r="L17" i="5" l="1"/>
  <c r="L18" i="5"/>
  <c r="L19" i="5"/>
  <c r="L20" i="5"/>
  <c r="K17" i="5"/>
  <c r="K18" i="5"/>
  <c r="K19" i="5"/>
  <c r="K20" i="5"/>
  <c r="K16" i="5"/>
  <c r="L16" i="5"/>
  <c r="J17" i="5"/>
  <c r="J18" i="5"/>
  <c r="J19" i="5"/>
  <c r="J20" i="5"/>
  <c r="J16" i="5"/>
  <c r="H16" i="5"/>
  <c r="G16" i="5"/>
  <c r="G17" i="5"/>
  <c r="H17" i="5"/>
  <c r="G18" i="5"/>
  <c r="H18" i="5"/>
  <c r="G19" i="5"/>
  <c r="H19" i="5"/>
  <c r="G20" i="5"/>
  <c r="H20" i="5"/>
  <c r="F17" i="5"/>
  <c r="F18" i="5"/>
  <c r="F19" i="5"/>
  <c r="F20" i="5"/>
  <c r="F16" i="5"/>
</calcChain>
</file>

<file path=xl/sharedStrings.xml><?xml version="1.0" encoding="utf-8"?>
<sst xmlns="http://schemas.openxmlformats.org/spreadsheetml/2006/main" count="1845" uniqueCount="132">
  <si>
    <t>Day 1</t>
  </si>
  <si>
    <t>A</t>
  </si>
  <si>
    <t>T1 D1</t>
  </si>
  <si>
    <t>T2 D1</t>
  </si>
  <si>
    <t>B</t>
  </si>
  <si>
    <t>T3 D1</t>
  </si>
  <si>
    <t>T7 D1</t>
  </si>
  <si>
    <t>C</t>
  </si>
  <si>
    <t>T8 D1</t>
  </si>
  <si>
    <t>T9 D1</t>
  </si>
  <si>
    <t>D</t>
  </si>
  <si>
    <t>T13 D1</t>
  </si>
  <si>
    <t>T14 D1</t>
  </si>
  <si>
    <t>E</t>
  </si>
  <si>
    <t>T15 D1</t>
  </si>
  <si>
    <t xml:space="preserve">T16 D1 </t>
  </si>
  <si>
    <t>F</t>
  </si>
  <si>
    <t xml:space="preserve">T17 D1 </t>
  </si>
  <si>
    <t>T18 D1</t>
  </si>
  <si>
    <t>Day 3</t>
  </si>
  <si>
    <t>T1 D3</t>
  </si>
  <si>
    <t>T2 D3</t>
  </si>
  <si>
    <t>T3 D3</t>
  </si>
  <si>
    <t>T7 D3</t>
  </si>
  <si>
    <t>T8 D3</t>
  </si>
  <si>
    <t>T9 D3</t>
  </si>
  <si>
    <t>T13 D3</t>
  </si>
  <si>
    <t>T14 D3</t>
  </si>
  <si>
    <t>T15 D3</t>
  </si>
  <si>
    <t>T16 D3</t>
  </si>
  <si>
    <t>T17 D3</t>
  </si>
  <si>
    <t>T18 D3</t>
  </si>
  <si>
    <t>Day 6</t>
  </si>
  <si>
    <t>T1 D6</t>
  </si>
  <si>
    <t>T2 D6</t>
  </si>
  <si>
    <t>T3 D6</t>
  </si>
  <si>
    <t>T7 D6</t>
  </si>
  <si>
    <t>T8 D6</t>
  </si>
  <si>
    <t>T9 D6</t>
  </si>
  <si>
    <t>T13 D6</t>
  </si>
  <si>
    <t>T14 D6</t>
  </si>
  <si>
    <t>T15 D6</t>
  </si>
  <si>
    <t>T16 D6</t>
  </si>
  <si>
    <t>T17 D6</t>
  </si>
  <si>
    <t>T18 D6</t>
  </si>
  <si>
    <t>Day 13</t>
  </si>
  <si>
    <t>T1 D13</t>
  </si>
  <si>
    <t>T2 D13</t>
  </si>
  <si>
    <t>T3 D13</t>
  </si>
  <si>
    <t>T7 D13</t>
  </si>
  <si>
    <t>T8 D13</t>
  </si>
  <si>
    <t>T9 D13</t>
  </si>
  <si>
    <t>T13 D13</t>
  </si>
  <si>
    <t>T14 D13</t>
  </si>
  <si>
    <t>T15 D13</t>
  </si>
  <si>
    <t>T16 D13</t>
  </si>
  <si>
    <t>T17 D13</t>
  </si>
  <si>
    <t>T18 D13</t>
  </si>
  <si>
    <t>Tank #</t>
  </si>
  <si>
    <t>Rep 1</t>
  </si>
  <si>
    <t>Rep 2</t>
  </si>
  <si>
    <t>Rep 3</t>
  </si>
  <si>
    <t>Rep 4</t>
  </si>
  <si>
    <t>Average</t>
  </si>
  <si>
    <t>Total</t>
  </si>
  <si>
    <t>1.75 L</t>
  </si>
  <si>
    <t>1 L</t>
  </si>
  <si>
    <t>No samples from Day 1</t>
  </si>
  <si>
    <t>N/A</t>
  </si>
  <si>
    <t>DB Tank Counts</t>
  </si>
  <si>
    <t>Larval Counts</t>
  </si>
  <si>
    <t>/</t>
  </si>
  <si>
    <t>CTRL</t>
  </si>
  <si>
    <t>PB</t>
  </si>
  <si>
    <t>PB + Heat</t>
  </si>
  <si>
    <t>AB</t>
  </si>
  <si>
    <t>Heat</t>
  </si>
  <si>
    <t>AB + Heat</t>
  </si>
  <si>
    <t>Day 0</t>
  </si>
  <si>
    <t>Day 8</t>
  </si>
  <si>
    <t>Day 10</t>
  </si>
  <si>
    <t>Day</t>
  </si>
  <si>
    <t>Control</t>
  </si>
  <si>
    <t>Probiotics</t>
  </si>
  <si>
    <t>% survival relative to 100% control</t>
  </si>
  <si>
    <t>Antibiotics</t>
  </si>
  <si>
    <t>Antibiotics and Heat</t>
  </si>
  <si>
    <t>Day 1 / Day 3</t>
  </si>
  <si>
    <t>T4 D1</t>
  </si>
  <si>
    <t>T10 D1</t>
  </si>
  <si>
    <t>T19 D1</t>
  </si>
  <si>
    <t>T20 D1</t>
  </si>
  <si>
    <t>T21 D1</t>
  </si>
  <si>
    <t>T4 D3</t>
  </si>
  <si>
    <t>T10 D3</t>
  </si>
  <si>
    <t>T19 D3</t>
  </si>
  <si>
    <t>T20 D3</t>
  </si>
  <si>
    <t>T21 D3</t>
  </si>
  <si>
    <t>Day 6 / Day 13</t>
  </si>
  <si>
    <t>T4 D6</t>
  </si>
  <si>
    <t>T10 D6</t>
  </si>
  <si>
    <t>T19 D6</t>
  </si>
  <si>
    <t>T20 D6</t>
  </si>
  <si>
    <t>T21 D6</t>
  </si>
  <si>
    <t>T4 D13</t>
  </si>
  <si>
    <t>T10 D13</t>
  </si>
  <si>
    <t>T19 D13</t>
  </si>
  <si>
    <t>T20 D13</t>
  </si>
  <si>
    <t>T21 D13</t>
  </si>
  <si>
    <t>HEAT</t>
  </si>
  <si>
    <t>***recount PB day 3 and 13</t>
  </si>
  <si>
    <t>****recount control day 1 and 3</t>
  </si>
  <si>
    <t>**recount PB + heat day 3 and 13</t>
  </si>
  <si>
    <t>control</t>
  </si>
  <si>
    <t>PB+heat</t>
  </si>
  <si>
    <t>Antibiotics + Heat</t>
  </si>
  <si>
    <t>F1</t>
  </si>
  <si>
    <t>F2</t>
  </si>
  <si>
    <t>F3</t>
  </si>
  <si>
    <t>F4</t>
  </si>
  <si>
    <t>Probiotics + HT</t>
  </si>
  <si>
    <t>High temperature</t>
  </si>
  <si>
    <t xml:space="preserve">Tank </t>
  </si>
  <si>
    <t>Treatment</t>
  </si>
  <si>
    <t>Antibiotics + HT</t>
  </si>
  <si>
    <t>High temperature (HT)</t>
  </si>
  <si>
    <t>Family</t>
  </si>
  <si>
    <t>NA</t>
  </si>
  <si>
    <t>Percent survival</t>
  </si>
  <si>
    <t>Rep</t>
  </si>
  <si>
    <t>Size</t>
  </si>
  <si>
    <t>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</si>
</sst>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0" fontId="1" fillId="3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1" fillId="0" borderId="0" xfId="0" applyFont="1" applyAlignment="1">
      <alignment horizontal="right" vertical="center"/>
    </xf>
    <xf numFmtId="0" fontId="1" fillId="0" borderId="0" xfId="0" applyFont="1"/>
    <xf numFmtId="3" fontId="1" fillId="0" borderId="6" xfId="0" applyNumberFormat="1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2" fontId="6" fillId="0" borderId="0" xfId="0" applyNumberFormat="1" applyFont="1"/>
    <xf numFmtId="0" fontId="0" fillId="5" borderId="0" xfId="0" applyFill="1"/>
    <xf numFmtId="0" fontId="8" fillId="0" borderId="0" xfId="0" applyFont="1"/>
    <xf numFmtId="2" fontId="8" fillId="0" borderId="0" xfId="0" applyNumberFormat="1" applyFont="1"/>
    <xf numFmtId="0" fontId="1" fillId="5" borderId="0" xfId="0" applyFont="1" applyFill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0" fontId="2" fillId="0" borderId="8" xfId="0" applyFont="1" applyBorder="1"/>
    <xf numFmtId="0" fontId="2" fillId="0" borderId="0" xfId="0" applyFont="1"/>
    <xf numFmtId="0" fontId="9" fillId="0" borderId="0" xfId="0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/>
    <xf numFmtId="3" fontId="0" fillId="3" borderId="0" xfId="0" applyNumberFormat="1" applyFill="1"/>
    <xf numFmtId="0" fontId="0" fillId="3" borderId="0" xfId="0" applyFill="1"/>
    <xf numFmtId="3" fontId="10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474270271065798"/>
          <c:y val="0.10648673322138227"/>
          <c:w val="0.77438978782352352"/>
          <c:h val="0.73087074493012549"/>
        </c:manualLayout>
      </c:layout>
      <c:lineChart>
        <c:grouping val="standard"/>
        <c:varyColors val="0"/>
        <c:ser>
          <c:idx val="0"/>
          <c:order val="0"/>
          <c:tx>
            <c:strRef>
              <c:f>'Tank Count Totals'!$T$3</c:f>
              <c:strCache>
                <c:ptCount val="1"/>
                <c:pt idx="0">
                  <c:v>Control</c:v>
                </c:pt>
              </c:strCache>
            </c:strRef>
          </c:tx>
          <c:spPr>
            <a:ln w="41275" cap="rnd" cmpd="sng" algn="ctr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'Tank Count Totals'!$U$9:$Y$9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157175.59182858726</c:v>
                  </c:pt>
                  <c:pt idx="2">
                    <c:v>98801.410668066877</c:v>
                  </c:pt>
                  <c:pt idx="3">
                    <c:v>42233.481885673362</c:v>
                  </c:pt>
                  <c:pt idx="4">
                    <c:v>39464.184712217226</c:v>
                  </c:pt>
                </c:numCache>
              </c:numRef>
            </c:plus>
            <c:minus>
              <c:numRef>
                <c:f>'Tank Count Totals'!$U$9:$Y$9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157175.59182858726</c:v>
                  </c:pt>
                  <c:pt idx="2">
                    <c:v>98801.410668066877</c:v>
                  </c:pt>
                  <c:pt idx="3">
                    <c:v>42233.481885673362</c:v>
                  </c:pt>
                  <c:pt idx="4">
                    <c:v>39464.184712217226</c:v>
                  </c:pt>
                </c:numCache>
              </c:numRef>
            </c:minus>
            <c:spPr>
              <a:noFill/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errBars>
          <c:cat>
            <c:numRef>
              <c:f>'Tank Count Totals'!$U$2:$Y$2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13</c:v>
                </c:pt>
              </c:numCache>
            </c:numRef>
          </c:cat>
          <c:val>
            <c:numRef>
              <c:f>'Tank Count Totals'!$U$3:$Y$3</c:f>
              <c:numCache>
                <c:formatCode>#,##0</c:formatCode>
                <c:ptCount val="5"/>
                <c:pt idx="0">
                  <c:v>1000000</c:v>
                </c:pt>
                <c:pt idx="1">
                  <c:v>253750</c:v>
                </c:pt>
                <c:pt idx="2">
                  <c:v>140000</c:v>
                </c:pt>
                <c:pt idx="3">
                  <c:v>71093.75</c:v>
                </c:pt>
                <c:pt idx="4">
                  <c:v>54375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79-43FA-A658-11EB434E55A3}"/>
            </c:ext>
          </c:extLst>
        </c:ser>
        <c:ser>
          <c:idx val="1"/>
          <c:order val="1"/>
          <c:tx>
            <c:strRef>
              <c:f>'Tank Count Totals'!$T$4</c:f>
              <c:strCache>
                <c:ptCount val="1"/>
                <c:pt idx="0">
                  <c:v>Probiotics</c:v>
                </c:pt>
              </c:strCache>
            </c:strRef>
          </c:tx>
          <c:spPr>
            <a:ln w="4127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'Tank Count Totals'!$U$10:$Y$10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51254.763498137421</c:v>
                  </c:pt>
                  <c:pt idx="2">
                    <c:v>42020.502808153069</c:v>
                  </c:pt>
                  <c:pt idx="3">
                    <c:v>83498.339242466376</c:v>
                  </c:pt>
                  <c:pt idx="4">
                    <c:v>42957.100693598957</c:v>
                  </c:pt>
                </c:numCache>
              </c:numRef>
            </c:plus>
            <c:minus>
              <c:numRef>
                <c:f>'Tank Count Totals'!$U$10:$Y$10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51254.763498137421</c:v>
                  </c:pt>
                  <c:pt idx="2">
                    <c:v>42020.502808153069</c:v>
                  </c:pt>
                  <c:pt idx="3">
                    <c:v>83498.339242466376</c:v>
                  </c:pt>
                  <c:pt idx="4">
                    <c:v>42957.100693598957</c:v>
                  </c:pt>
                </c:numCache>
              </c:numRef>
            </c:minus>
            <c:spPr>
              <a:noFill/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errBars>
          <c:cat>
            <c:numRef>
              <c:f>'Tank Count Totals'!$U$2:$Y$2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13</c:v>
                </c:pt>
              </c:numCache>
            </c:numRef>
          </c:cat>
          <c:val>
            <c:numRef>
              <c:f>'Tank Count Totals'!$U$4:$Y$4</c:f>
              <c:numCache>
                <c:formatCode>#,##0</c:formatCode>
                <c:ptCount val="5"/>
                <c:pt idx="0">
                  <c:v>1000000</c:v>
                </c:pt>
                <c:pt idx="1">
                  <c:v>247187.5</c:v>
                </c:pt>
                <c:pt idx="2">
                  <c:v>120312.5</c:v>
                </c:pt>
                <c:pt idx="3">
                  <c:v>155312.5</c:v>
                </c:pt>
                <c:pt idx="4">
                  <c:v>71250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79-43FA-A658-11EB434E55A3}"/>
            </c:ext>
          </c:extLst>
        </c:ser>
        <c:ser>
          <c:idx val="2"/>
          <c:order val="2"/>
          <c:tx>
            <c:strRef>
              <c:f>'Tank Count Totals'!$T$5</c:f>
              <c:strCache>
                <c:ptCount val="1"/>
                <c:pt idx="0">
                  <c:v>Probiotics + HT</c:v>
                </c:pt>
              </c:strCache>
            </c:strRef>
          </c:tx>
          <c:spPr>
            <a:ln w="4127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'Tank Count Totals'!$U$11:$Y$11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24845.224012876199</c:v>
                  </c:pt>
                  <c:pt idx="2">
                    <c:v>37682.82257458297</c:v>
                  </c:pt>
                  <c:pt idx="3">
                    <c:v>21737.851312572271</c:v>
                  </c:pt>
                  <c:pt idx="4">
                    <c:v>20310.0960115899</c:v>
                  </c:pt>
                </c:numCache>
              </c:numRef>
            </c:plus>
            <c:minus>
              <c:numRef>
                <c:f>'Tank Count Totals'!$U$11:$Y$11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24845.224012876199</c:v>
                  </c:pt>
                  <c:pt idx="2">
                    <c:v>37682.82257458297</c:v>
                  </c:pt>
                  <c:pt idx="3">
                    <c:v>21737.851312572271</c:v>
                  </c:pt>
                  <c:pt idx="4">
                    <c:v>20310.0960115899</c:v>
                  </c:pt>
                </c:numCache>
              </c:numRef>
            </c:minus>
            <c:spPr>
              <a:noFill/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errBars>
          <c:cat>
            <c:numRef>
              <c:f>'Tank Count Totals'!$U$2:$Y$2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13</c:v>
                </c:pt>
              </c:numCache>
            </c:numRef>
          </c:cat>
          <c:val>
            <c:numRef>
              <c:f>'Tank Count Totals'!$U$5:$Y$5</c:f>
              <c:numCache>
                <c:formatCode>#,##0</c:formatCode>
                <c:ptCount val="5"/>
                <c:pt idx="0">
                  <c:v>1000000</c:v>
                </c:pt>
                <c:pt idx="1">
                  <c:v>225312.5</c:v>
                </c:pt>
                <c:pt idx="2">
                  <c:v>73281.25</c:v>
                </c:pt>
                <c:pt idx="3">
                  <c:v>92968.75</c:v>
                </c:pt>
                <c:pt idx="4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79-43FA-A658-11EB434E55A3}"/>
            </c:ext>
          </c:extLst>
        </c:ser>
        <c:ser>
          <c:idx val="3"/>
          <c:order val="3"/>
          <c:tx>
            <c:strRef>
              <c:f>'Tank Count Totals'!$T$6</c:f>
              <c:strCache>
                <c:ptCount val="1"/>
                <c:pt idx="0">
                  <c:v>High temperature</c:v>
                </c:pt>
              </c:strCache>
            </c:strRef>
          </c:tx>
          <c:spPr>
            <a:ln w="4127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'Tank Count Totals'!$U$12:$Y$12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119349.12595904295</c:v>
                  </c:pt>
                  <c:pt idx="2">
                    <c:v>68199.500548024545</c:v>
                  </c:pt>
                  <c:pt idx="3">
                    <c:v>49255.19484023995</c:v>
                  </c:pt>
                  <c:pt idx="4">
                    <c:v>38971.143170299736</c:v>
                  </c:pt>
                </c:numCache>
              </c:numRef>
            </c:plus>
            <c:minus>
              <c:numRef>
                <c:f>'Tank Count Totals'!$U$12:$Y$12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119349.12595904295</c:v>
                  </c:pt>
                  <c:pt idx="2">
                    <c:v>68199.500548024545</c:v>
                  </c:pt>
                  <c:pt idx="3">
                    <c:v>49255.19484023995</c:v>
                  </c:pt>
                  <c:pt idx="4">
                    <c:v>38971.143170299736</c:v>
                  </c:pt>
                </c:numCache>
              </c:numRef>
            </c:minus>
            <c:spPr>
              <a:noFill/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errBars>
          <c:cat>
            <c:numRef>
              <c:f>'Tank Count Totals'!$U$2:$Y$2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13</c:v>
                </c:pt>
              </c:numCache>
            </c:numRef>
          </c:cat>
          <c:val>
            <c:numRef>
              <c:f>'Tank Count Totals'!$U$6:$Y$6</c:f>
              <c:numCache>
                <c:formatCode>#,##0</c:formatCode>
                <c:ptCount val="5"/>
                <c:pt idx="0">
                  <c:v>1000000</c:v>
                </c:pt>
                <c:pt idx="1">
                  <c:v>88593.75</c:v>
                </c:pt>
                <c:pt idx="2">
                  <c:v>22968.75</c:v>
                </c:pt>
                <c:pt idx="3">
                  <c:v>15312.5</c:v>
                </c:pt>
                <c:pt idx="4">
                  <c:v>5833.333333333333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79-43FA-A658-11EB434E5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847749743"/>
        <c:axId val="1847752655"/>
      </c:lineChart>
      <c:catAx>
        <c:axId val="1847749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 sz="2400"/>
                  <a:t>days post-fertilization</a:t>
                </a:r>
              </a:p>
            </c:rich>
          </c:tx>
          <c:layout>
            <c:manualLayout>
              <c:xMode val="edge"/>
              <c:yMode val="edge"/>
              <c:x val="0.40945336475860561"/>
              <c:y val="0.938514182285198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47752655"/>
        <c:crosses val="autoZero"/>
        <c:auto val="1"/>
        <c:lblAlgn val="ctr"/>
        <c:lblOffset val="100"/>
        <c:noMultiLvlLbl val="0"/>
      </c:catAx>
      <c:valAx>
        <c:axId val="1847752655"/>
        <c:scaling>
          <c:orientation val="minMax"/>
          <c:max val="1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/>
                  <a:t>Number</a:t>
                </a:r>
                <a:r>
                  <a:rPr lang="en-CA" baseline="0"/>
                  <a:t> of larvae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8.2807573549006849E-3"/>
              <c:y val="0.191132203868627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A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47749743"/>
        <c:crosses val="autoZero"/>
        <c:crossBetween val="between"/>
      </c:valAx>
      <c:spPr>
        <a:solidFill>
          <a:schemeClr val="bg1"/>
        </a:solidFill>
        <a:ln>
          <a:solidFill>
            <a:schemeClr val="bg1"/>
          </a:solidFill>
        </a:ln>
        <a:effectLst/>
      </c:spPr>
    </c:plotArea>
    <c:legend>
      <c:legendPos val="b"/>
      <c:layout>
        <c:manualLayout>
          <c:xMode val="edge"/>
          <c:yMode val="edge"/>
          <c:x val="0.24779416552181394"/>
          <c:y val="7.317203472136713E-3"/>
          <c:w val="0.7474739731325285"/>
          <c:h val="0.14288553869790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2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372533</xdr:colOff>
      <xdr:row>18</xdr:row>
      <xdr:rowOff>186266</xdr:rowOff>
    </xdr:from>
    <xdr:to>
      <xdr:col>31</xdr:col>
      <xdr:colOff>541866</xdr:colOff>
      <xdr:row>51</xdr:row>
      <xdr:rowOff>50799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93EB67-82B5-54CC-8756-A356B061B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D0C1-BB04-E148-9352-0FEBDD7DD2FC}">
  <dimension ref="A1:T38"/>
  <sheetViews>
    <sheetView workbookViewId="0">
      <selection activeCell="L23" sqref="L23"/>
    </sheetView>
  </sheetViews>
  <sheetFormatPr baseColWidth="10" defaultColWidth="10.6640625" defaultRowHeight="16" x14ac:dyDescent="0.2"/>
  <sheetData>
    <row r="1" spans="1:20" x14ac:dyDescent="0.2">
      <c r="A1" s="68" t="s">
        <v>0</v>
      </c>
      <c r="B1" s="68"/>
      <c r="C1" s="68"/>
      <c r="D1" s="68"/>
      <c r="E1" s="68"/>
      <c r="F1" s="68"/>
      <c r="G1" s="68"/>
      <c r="H1" s="68"/>
      <c r="I1" s="68"/>
      <c r="L1" s="68" t="s">
        <v>87</v>
      </c>
      <c r="M1" s="68"/>
      <c r="N1" s="68"/>
      <c r="O1" s="68"/>
      <c r="P1" s="68"/>
      <c r="Q1" s="68"/>
      <c r="R1" s="68"/>
      <c r="S1" s="68"/>
      <c r="T1" s="68"/>
    </row>
    <row r="2" spans="1:20" x14ac:dyDescent="0.2">
      <c r="A2" s="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3">
        <v>8</v>
      </c>
      <c r="L2" s="1"/>
      <c r="M2" s="2">
        <v>1</v>
      </c>
      <c r="N2" s="2">
        <v>2</v>
      </c>
      <c r="O2" s="2">
        <v>3</v>
      </c>
      <c r="P2" s="2">
        <v>4</v>
      </c>
      <c r="Q2" s="2">
        <v>5</v>
      </c>
      <c r="R2" s="2">
        <v>6</v>
      </c>
      <c r="S2" s="2">
        <v>7</v>
      </c>
      <c r="T2" s="3">
        <v>8</v>
      </c>
    </row>
    <row r="3" spans="1:20" x14ac:dyDescent="0.2">
      <c r="A3" s="4" t="s">
        <v>1</v>
      </c>
      <c r="B3" s="5" t="s">
        <v>2</v>
      </c>
      <c r="C3" s="5" t="s">
        <v>2</v>
      </c>
      <c r="D3" s="5" t="s">
        <v>2</v>
      </c>
      <c r="E3" s="5" t="s">
        <v>2</v>
      </c>
      <c r="F3" s="5" t="s">
        <v>3</v>
      </c>
      <c r="G3" s="5" t="s">
        <v>3</v>
      </c>
      <c r="H3" s="5" t="s">
        <v>3</v>
      </c>
      <c r="I3" s="5" t="s">
        <v>3</v>
      </c>
      <c r="L3" s="4" t="s">
        <v>1</v>
      </c>
      <c r="M3" s="5" t="s">
        <v>88</v>
      </c>
      <c r="N3" s="5" t="s">
        <v>88</v>
      </c>
      <c r="O3" s="5" t="s">
        <v>88</v>
      </c>
      <c r="P3" s="5" t="s">
        <v>88</v>
      </c>
      <c r="Q3" s="5" t="s">
        <v>89</v>
      </c>
      <c r="R3" s="5" t="s">
        <v>89</v>
      </c>
      <c r="S3" s="5" t="s">
        <v>89</v>
      </c>
      <c r="T3" s="5" t="s">
        <v>89</v>
      </c>
    </row>
    <row r="4" spans="1:20" x14ac:dyDescent="0.2">
      <c r="A4" s="4" t="s">
        <v>4</v>
      </c>
      <c r="B4" s="5" t="s">
        <v>5</v>
      </c>
      <c r="C4" s="5" t="s">
        <v>5</v>
      </c>
      <c r="D4" s="5" t="s">
        <v>5</v>
      </c>
      <c r="E4" s="5" t="s">
        <v>5</v>
      </c>
      <c r="F4" s="5" t="s">
        <v>6</v>
      </c>
      <c r="G4" s="5" t="s">
        <v>6</v>
      </c>
      <c r="H4" s="5" t="s">
        <v>6</v>
      </c>
      <c r="I4" s="5" t="s">
        <v>6</v>
      </c>
      <c r="L4" s="4" t="s">
        <v>4</v>
      </c>
      <c r="M4" s="5" t="s">
        <v>90</v>
      </c>
      <c r="N4" s="5" t="s">
        <v>90</v>
      </c>
      <c r="O4" s="5" t="s">
        <v>90</v>
      </c>
      <c r="P4" s="5" t="s">
        <v>90</v>
      </c>
      <c r="Q4" s="5" t="s">
        <v>91</v>
      </c>
      <c r="R4" s="5" t="s">
        <v>91</v>
      </c>
      <c r="S4" s="5" t="s">
        <v>91</v>
      </c>
      <c r="T4" s="5" t="s">
        <v>91</v>
      </c>
    </row>
    <row r="5" spans="1:20" x14ac:dyDescent="0.2">
      <c r="A5" s="4" t="s">
        <v>7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9</v>
      </c>
      <c r="G5" s="5" t="s">
        <v>9</v>
      </c>
      <c r="H5" s="5" t="s">
        <v>9</v>
      </c>
      <c r="I5" s="5" t="s">
        <v>9</v>
      </c>
      <c r="L5" s="4" t="s">
        <v>7</v>
      </c>
      <c r="M5" s="5" t="s">
        <v>92</v>
      </c>
      <c r="N5" s="5" t="s">
        <v>92</v>
      </c>
      <c r="O5" s="5" t="s">
        <v>92</v>
      </c>
      <c r="P5" s="5" t="s">
        <v>92</v>
      </c>
      <c r="Q5" s="5"/>
      <c r="R5" s="5"/>
      <c r="S5" s="5"/>
      <c r="T5" s="5"/>
    </row>
    <row r="6" spans="1:20" x14ac:dyDescent="0.2">
      <c r="A6" s="4" t="s">
        <v>10</v>
      </c>
      <c r="B6" s="5" t="s">
        <v>11</v>
      </c>
      <c r="C6" s="5" t="s">
        <v>11</v>
      </c>
      <c r="D6" s="5" t="s">
        <v>11</v>
      </c>
      <c r="E6" s="5" t="s">
        <v>11</v>
      </c>
      <c r="F6" s="5" t="s">
        <v>12</v>
      </c>
      <c r="G6" s="5" t="s">
        <v>12</v>
      </c>
      <c r="H6" s="5" t="s">
        <v>12</v>
      </c>
      <c r="I6" s="5" t="s">
        <v>12</v>
      </c>
      <c r="L6" s="4" t="s">
        <v>10</v>
      </c>
      <c r="M6" s="5" t="s">
        <v>93</v>
      </c>
      <c r="N6" s="5" t="s">
        <v>93</v>
      </c>
      <c r="O6" s="5" t="s">
        <v>93</v>
      </c>
      <c r="P6" s="5" t="s">
        <v>93</v>
      </c>
      <c r="Q6" s="5" t="s">
        <v>94</v>
      </c>
      <c r="R6" s="5" t="s">
        <v>94</v>
      </c>
      <c r="S6" s="5" t="s">
        <v>94</v>
      </c>
      <c r="T6" s="5" t="s">
        <v>94</v>
      </c>
    </row>
    <row r="7" spans="1:20" x14ac:dyDescent="0.2">
      <c r="A7" s="4" t="s">
        <v>13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15</v>
      </c>
      <c r="G7" s="5" t="s">
        <v>15</v>
      </c>
      <c r="H7" s="5" t="s">
        <v>15</v>
      </c>
      <c r="I7" s="5" t="s">
        <v>15</v>
      </c>
      <c r="L7" s="4" t="s">
        <v>13</v>
      </c>
      <c r="M7" s="5" t="s">
        <v>95</v>
      </c>
      <c r="N7" s="5" t="s">
        <v>95</v>
      </c>
      <c r="O7" s="5" t="s">
        <v>95</v>
      </c>
      <c r="P7" s="5" t="s">
        <v>95</v>
      </c>
      <c r="Q7" s="5" t="s">
        <v>96</v>
      </c>
      <c r="R7" s="5" t="s">
        <v>96</v>
      </c>
      <c r="S7" s="5" t="s">
        <v>96</v>
      </c>
      <c r="T7" s="5" t="s">
        <v>96</v>
      </c>
    </row>
    <row r="8" spans="1:20" x14ac:dyDescent="0.2">
      <c r="A8" s="6" t="s">
        <v>16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18</v>
      </c>
      <c r="G8" s="5" t="s">
        <v>18</v>
      </c>
      <c r="H8" s="5" t="s">
        <v>18</v>
      </c>
      <c r="I8" s="5" t="s">
        <v>18</v>
      </c>
      <c r="L8" s="6" t="s">
        <v>16</v>
      </c>
      <c r="M8" s="5" t="s">
        <v>97</v>
      </c>
      <c r="N8" s="5" t="s">
        <v>97</v>
      </c>
      <c r="O8" s="5" t="s">
        <v>97</v>
      </c>
      <c r="P8" s="5" t="s">
        <v>97</v>
      </c>
      <c r="Q8" s="5"/>
      <c r="R8" s="5"/>
      <c r="S8" s="5"/>
      <c r="T8" s="5"/>
    </row>
    <row r="11" spans="1:20" x14ac:dyDescent="0.2">
      <c r="A11" s="68" t="s">
        <v>19</v>
      </c>
      <c r="B11" s="68"/>
      <c r="C11" s="68"/>
      <c r="D11" s="68"/>
      <c r="E11" s="68"/>
      <c r="F11" s="68"/>
      <c r="G11" s="68"/>
      <c r="H11" s="68"/>
      <c r="I11" s="68"/>
      <c r="L11" s="68" t="s">
        <v>98</v>
      </c>
      <c r="M11" s="68"/>
      <c r="N11" s="68"/>
      <c r="O11" s="68"/>
      <c r="P11" s="68"/>
      <c r="Q11" s="68"/>
      <c r="R11" s="68"/>
      <c r="S11" s="68"/>
      <c r="T11" s="68"/>
    </row>
    <row r="12" spans="1:20" x14ac:dyDescent="0.2">
      <c r="A12" s="1"/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3">
        <v>8</v>
      </c>
      <c r="L12" s="1"/>
      <c r="M12" s="2">
        <v>1</v>
      </c>
      <c r="N12" s="2">
        <v>2</v>
      </c>
      <c r="O12" s="2">
        <v>3</v>
      </c>
      <c r="P12" s="2">
        <v>4</v>
      </c>
      <c r="Q12" s="2">
        <v>5</v>
      </c>
      <c r="R12" s="2">
        <v>6</v>
      </c>
      <c r="S12" s="2">
        <v>7</v>
      </c>
      <c r="T12" s="3">
        <v>8</v>
      </c>
    </row>
    <row r="13" spans="1:20" x14ac:dyDescent="0.2">
      <c r="A13" s="4" t="s">
        <v>1</v>
      </c>
      <c r="B13" s="5" t="s">
        <v>20</v>
      </c>
      <c r="C13" s="5" t="s">
        <v>20</v>
      </c>
      <c r="D13" s="5" t="s">
        <v>20</v>
      </c>
      <c r="E13" s="5" t="s">
        <v>20</v>
      </c>
      <c r="F13" s="5" t="s">
        <v>21</v>
      </c>
      <c r="G13" s="5" t="s">
        <v>21</v>
      </c>
      <c r="H13" s="5" t="s">
        <v>21</v>
      </c>
      <c r="I13" s="5" t="s">
        <v>21</v>
      </c>
      <c r="L13" s="4" t="s">
        <v>1</v>
      </c>
      <c r="M13" s="5" t="s">
        <v>99</v>
      </c>
      <c r="N13" s="5" t="s">
        <v>99</v>
      </c>
      <c r="O13" s="5" t="s">
        <v>99</v>
      </c>
      <c r="P13" s="5" t="s">
        <v>99</v>
      </c>
      <c r="Q13" s="5" t="s">
        <v>100</v>
      </c>
      <c r="R13" s="5" t="s">
        <v>100</v>
      </c>
      <c r="S13" s="5" t="s">
        <v>100</v>
      </c>
      <c r="T13" s="5" t="s">
        <v>100</v>
      </c>
    </row>
    <row r="14" spans="1:20" x14ac:dyDescent="0.2">
      <c r="A14" s="4" t="s">
        <v>4</v>
      </c>
      <c r="B14" s="5" t="s">
        <v>22</v>
      </c>
      <c r="C14" s="5" t="s">
        <v>22</v>
      </c>
      <c r="D14" s="5" t="s">
        <v>22</v>
      </c>
      <c r="E14" s="5" t="s">
        <v>22</v>
      </c>
      <c r="F14" s="5" t="s">
        <v>23</v>
      </c>
      <c r="G14" s="5" t="s">
        <v>23</v>
      </c>
      <c r="H14" s="5" t="s">
        <v>23</v>
      </c>
      <c r="I14" s="5" t="s">
        <v>23</v>
      </c>
      <c r="L14" s="4" t="s">
        <v>4</v>
      </c>
      <c r="M14" s="5" t="s">
        <v>101</v>
      </c>
      <c r="N14" s="5" t="s">
        <v>101</v>
      </c>
      <c r="O14" s="5" t="s">
        <v>101</v>
      </c>
      <c r="P14" s="5" t="s">
        <v>101</v>
      </c>
      <c r="Q14" s="5" t="s">
        <v>102</v>
      </c>
      <c r="R14" s="5" t="s">
        <v>102</v>
      </c>
      <c r="S14" s="5" t="s">
        <v>102</v>
      </c>
      <c r="T14" s="5" t="s">
        <v>102</v>
      </c>
    </row>
    <row r="15" spans="1:20" x14ac:dyDescent="0.2">
      <c r="A15" s="4" t="s">
        <v>7</v>
      </c>
      <c r="B15" s="5" t="s">
        <v>24</v>
      </c>
      <c r="C15" s="5" t="s">
        <v>24</v>
      </c>
      <c r="D15" s="5" t="s">
        <v>24</v>
      </c>
      <c r="E15" s="5" t="s">
        <v>24</v>
      </c>
      <c r="F15" s="5" t="s">
        <v>25</v>
      </c>
      <c r="G15" s="5" t="s">
        <v>25</v>
      </c>
      <c r="H15" s="5" t="s">
        <v>25</v>
      </c>
      <c r="I15" s="5" t="s">
        <v>25</v>
      </c>
      <c r="L15" s="4" t="s">
        <v>7</v>
      </c>
      <c r="M15" s="5" t="s">
        <v>103</v>
      </c>
      <c r="N15" s="5" t="s">
        <v>103</v>
      </c>
      <c r="O15" s="5" t="s">
        <v>103</v>
      </c>
      <c r="P15" s="5" t="s">
        <v>103</v>
      </c>
      <c r="Q15" s="5"/>
      <c r="R15" s="5"/>
      <c r="S15" s="5"/>
      <c r="T15" s="5"/>
    </row>
    <row r="16" spans="1:20" x14ac:dyDescent="0.2">
      <c r="A16" s="4" t="s">
        <v>10</v>
      </c>
      <c r="B16" s="5" t="s">
        <v>26</v>
      </c>
      <c r="C16" s="5" t="s">
        <v>26</v>
      </c>
      <c r="D16" s="5" t="s">
        <v>26</v>
      </c>
      <c r="E16" s="5" t="s">
        <v>26</v>
      </c>
      <c r="F16" s="5" t="s">
        <v>27</v>
      </c>
      <c r="G16" s="5" t="s">
        <v>27</v>
      </c>
      <c r="H16" s="5" t="s">
        <v>27</v>
      </c>
      <c r="I16" s="5" t="s">
        <v>27</v>
      </c>
      <c r="L16" s="4" t="s">
        <v>10</v>
      </c>
      <c r="M16" s="5" t="s">
        <v>104</v>
      </c>
      <c r="N16" s="5" t="s">
        <v>104</v>
      </c>
      <c r="O16" s="5" t="s">
        <v>104</v>
      </c>
      <c r="P16" s="5" t="s">
        <v>104</v>
      </c>
      <c r="Q16" s="52" t="s">
        <v>105</v>
      </c>
      <c r="R16" s="52" t="s">
        <v>105</v>
      </c>
      <c r="S16" s="52" t="s">
        <v>105</v>
      </c>
      <c r="T16" s="52" t="s">
        <v>105</v>
      </c>
    </row>
    <row r="17" spans="1:20" x14ac:dyDescent="0.2">
      <c r="A17" s="4" t="s">
        <v>13</v>
      </c>
      <c r="B17" s="5" t="s">
        <v>28</v>
      </c>
      <c r="C17" s="5" t="s">
        <v>28</v>
      </c>
      <c r="D17" s="5" t="s">
        <v>28</v>
      </c>
      <c r="E17" s="5" t="s">
        <v>28</v>
      </c>
      <c r="F17" s="5" t="s">
        <v>29</v>
      </c>
      <c r="G17" s="5" t="s">
        <v>29</v>
      </c>
      <c r="H17" s="5" t="s">
        <v>29</v>
      </c>
      <c r="I17" s="5" t="s">
        <v>29</v>
      </c>
      <c r="L17" s="4" t="s">
        <v>13</v>
      </c>
      <c r="M17" s="52" t="s">
        <v>106</v>
      </c>
      <c r="N17" s="52" t="s">
        <v>106</v>
      </c>
      <c r="O17" s="52" t="s">
        <v>106</v>
      </c>
      <c r="P17" s="52" t="s">
        <v>106</v>
      </c>
      <c r="Q17" s="5" t="s">
        <v>107</v>
      </c>
      <c r="R17" s="5" t="s">
        <v>107</v>
      </c>
      <c r="S17" s="5" t="s">
        <v>107</v>
      </c>
      <c r="T17" s="5" t="s">
        <v>107</v>
      </c>
    </row>
    <row r="18" spans="1:20" x14ac:dyDescent="0.2">
      <c r="A18" s="6" t="s">
        <v>16</v>
      </c>
      <c r="B18" s="5" t="s">
        <v>30</v>
      </c>
      <c r="C18" s="5" t="s">
        <v>30</v>
      </c>
      <c r="D18" s="5" t="s">
        <v>30</v>
      </c>
      <c r="E18" s="5" t="s">
        <v>30</v>
      </c>
      <c r="F18" s="5" t="s">
        <v>31</v>
      </c>
      <c r="G18" s="5" t="s">
        <v>31</v>
      </c>
      <c r="H18" s="5" t="s">
        <v>31</v>
      </c>
      <c r="I18" s="7" t="s">
        <v>31</v>
      </c>
      <c r="L18" s="6" t="s">
        <v>16</v>
      </c>
      <c r="M18" s="5" t="s">
        <v>108</v>
      </c>
      <c r="N18" s="5" t="s">
        <v>108</v>
      </c>
      <c r="O18" s="5" t="s">
        <v>108</v>
      </c>
      <c r="P18" s="5" t="s">
        <v>108</v>
      </c>
      <c r="Q18" s="5"/>
      <c r="R18" s="5"/>
      <c r="S18" s="5"/>
      <c r="T18" s="5"/>
    </row>
    <row r="21" spans="1:20" x14ac:dyDescent="0.2">
      <c r="A21" s="68" t="s">
        <v>32</v>
      </c>
      <c r="B21" s="68"/>
      <c r="C21" s="68"/>
      <c r="D21" s="68"/>
      <c r="E21" s="68"/>
      <c r="F21" s="68"/>
      <c r="G21" s="68"/>
      <c r="H21" s="68"/>
      <c r="I21" s="68"/>
    </row>
    <row r="22" spans="1:20" x14ac:dyDescent="0.2">
      <c r="A22" s="1"/>
      <c r="B22" s="2">
        <v>1</v>
      </c>
      <c r="C22" s="2">
        <v>2</v>
      </c>
      <c r="D22" s="2">
        <v>3</v>
      </c>
      <c r="E22" s="2">
        <v>4</v>
      </c>
      <c r="F22" s="2">
        <v>5</v>
      </c>
      <c r="G22" s="2">
        <v>6</v>
      </c>
      <c r="H22" s="2">
        <v>7</v>
      </c>
      <c r="I22" s="3">
        <v>8</v>
      </c>
    </row>
    <row r="23" spans="1:20" x14ac:dyDescent="0.2">
      <c r="A23" s="4" t="s">
        <v>1</v>
      </c>
      <c r="B23" s="5" t="s">
        <v>33</v>
      </c>
      <c r="C23" s="5" t="s">
        <v>33</v>
      </c>
      <c r="D23" s="5" t="s">
        <v>33</v>
      </c>
      <c r="E23" s="5" t="s">
        <v>33</v>
      </c>
      <c r="F23" s="5" t="s">
        <v>34</v>
      </c>
      <c r="G23" s="5" t="s">
        <v>34</v>
      </c>
      <c r="H23" s="5" t="s">
        <v>34</v>
      </c>
      <c r="I23" s="5" t="s">
        <v>34</v>
      </c>
    </row>
    <row r="24" spans="1:20" x14ac:dyDescent="0.2">
      <c r="A24" s="4" t="s">
        <v>4</v>
      </c>
      <c r="B24" s="5" t="s">
        <v>35</v>
      </c>
      <c r="C24" s="5" t="s">
        <v>35</v>
      </c>
      <c r="D24" s="5" t="s">
        <v>35</v>
      </c>
      <c r="E24" s="5" t="s">
        <v>35</v>
      </c>
      <c r="F24" s="5" t="s">
        <v>36</v>
      </c>
      <c r="G24" s="5" t="s">
        <v>36</v>
      </c>
      <c r="H24" s="5" t="s">
        <v>36</v>
      </c>
      <c r="I24" s="5" t="s">
        <v>36</v>
      </c>
    </row>
    <row r="25" spans="1:20" x14ac:dyDescent="0.2">
      <c r="A25" s="4" t="s">
        <v>7</v>
      </c>
      <c r="B25" s="5" t="s">
        <v>37</v>
      </c>
      <c r="C25" s="5" t="s">
        <v>37</v>
      </c>
      <c r="D25" s="5" t="s">
        <v>37</v>
      </c>
      <c r="E25" s="5" t="s">
        <v>37</v>
      </c>
      <c r="F25" s="5" t="s">
        <v>38</v>
      </c>
      <c r="G25" s="5" t="s">
        <v>38</v>
      </c>
      <c r="H25" s="5" t="s">
        <v>38</v>
      </c>
      <c r="I25" s="5" t="s">
        <v>38</v>
      </c>
    </row>
    <row r="26" spans="1:20" x14ac:dyDescent="0.2">
      <c r="A26" s="4" t="s">
        <v>10</v>
      </c>
      <c r="B26" s="5" t="s">
        <v>39</v>
      </c>
      <c r="C26" s="5" t="s">
        <v>39</v>
      </c>
      <c r="D26" s="5" t="s">
        <v>39</v>
      </c>
      <c r="E26" s="5" t="s">
        <v>39</v>
      </c>
      <c r="F26" s="5" t="s">
        <v>40</v>
      </c>
      <c r="G26" s="5" t="s">
        <v>40</v>
      </c>
      <c r="H26" s="5" t="s">
        <v>40</v>
      </c>
      <c r="I26" s="5" t="s">
        <v>40</v>
      </c>
    </row>
    <row r="27" spans="1:20" x14ac:dyDescent="0.2">
      <c r="A27" s="4" t="s">
        <v>13</v>
      </c>
      <c r="B27" s="5" t="s">
        <v>41</v>
      </c>
      <c r="C27" s="5" t="s">
        <v>41</v>
      </c>
      <c r="D27" s="5" t="s">
        <v>41</v>
      </c>
      <c r="E27" s="5" t="s">
        <v>41</v>
      </c>
      <c r="F27" s="5" t="s">
        <v>42</v>
      </c>
      <c r="G27" s="5" t="s">
        <v>42</v>
      </c>
      <c r="H27" s="5" t="s">
        <v>42</v>
      </c>
      <c r="I27" s="5" t="s">
        <v>42</v>
      </c>
    </row>
    <row r="28" spans="1:20" x14ac:dyDescent="0.2">
      <c r="A28" s="6" t="s">
        <v>16</v>
      </c>
      <c r="B28" s="5" t="s">
        <v>43</v>
      </c>
      <c r="C28" s="5" t="s">
        <v>43</v>
      </c>
      <c r="D28" s="5" t="s">
        <v>43</v>
      </c>
      <c r="E28" s="5" t="s">
        <v>43</v>
      </c>
      <c r="F28" s="5" t="s">
        <v>44</v>
      </c>
      <c r="G28" s="5" t="s">
        <v>44</v>
      </c>
      <c r="H28" s="5" t="s">
        <v>44</v>
      </c>
      <c r="I28" s="5" t="s">
        <v>44</v>
      </c>
    </row>
    <row r="31" spans="1:20" x14ac:dyDescent="0.2">
      <c r="A31" s="68" t="s">
        <v>45</v>
      </c>
      <c r="B31" s="68"/>
      <c r="C31" s="68"/>
      <c r="D31" s="68"/>
      <c r="E31" s="68"/>
      <c r="F31" s="68"/>
      <c r="G31" s="68"/>
      <c r="H31" s="68"/>
      <c r="I31" s="68"/>
    </row>
    <row r="32" spans="1:20" x14ac:dyDescent="0.2">
      <c r="A32" s="1"/>
      <c r="B32" s="2">
        <v>1</v>
      </c>
      <c r="C32" s="2">
        <v>2</v>
      </c>
      <c r="D32" s="2">
        <v>3</v>
      </c>
      <c r="E32" s="2">
        <v>4</v>
      </c>
      <c r="F32" s="2">
        <v>5</v>
      </c>
      <c r="G32" s="2">
        <v>6</v>
      </c>
      <c r="H32" s="2">
        <v>7</v>
      </c>
      <c r="I32" s="3">
        <v>8</v>
      </c>
    </row>
    <row r="33" spans="1:9" x14ac:dyDescent="0.2">
      <c r="A33" s="4" t="s">
        <v>1</v>
      </c>
      <c r="B33" s="5" t="s">
        <v>46</v>
      </c>
      <c r="C33" s="5" t="s">
        <v>46</v>
      </c>
      <c r="D33" s="5" t="s">
        <v>46</v>
      </c>
      <c r="E33" s="5" t="s">
        <v>46</v>
      </c>
      <c r="F33" s="5" t="s">
        <v>47</v>
      </c>
      <c r="G33" s="5" t="s">
        <v>47</v>
      </c>
      <c r="H33" s="5" t="s">
        <v>47</v>
      </c>
      <c r="I33" s="5" t="s">
        <v>47</v>
      </c>
    </row>
    <row r="34" spans="1:9" x14ac:dyDescent="0.2">
      <c r="A34" s="4" t="s">
        <v>4</v>
      </c>
      <c r="B34" s="5" t="s">
        <v>48</v>
      </c>
      <c r="C34" s="5" t="s">
        <v>48</v>
      </c>
      <c r="D34" s="5" t="s">
        <v>48</v>
      </c>
      <c r="E34" s="5" t="s">
        <v>48</v>
      </c>
      <c r="F34" s="5" t="s">
        <v>49</v>
      </c>
      <c r="G34" s="5" t="s">
        <v>49</v>
      </c>
      <c r="H34" s="5" t="s">
        <v>49</v>
      </c>
      <c r="I34" s="5" t="s">
        <v>49</v>
      </c>
    </row>
    <row r="35" spans="1:9" x14ac:dyDescent="0.2">
      <c r="A35" s="4" t="s">
        <v>7</v>
      </c>
      <c r="B35" s="5" t="s">
        <v>50</v>
      </c>
      <c r="C35" s="5" t="s">
        <v>50</v>
      </c>
      <c r="D35" s="5" t="s">
        <v>50</v>
      </c>
      <c r="E35" s="5" t="s">
        <v>50</v>
      </c>
      <c r="F35" s="5" t="s">
        <v>51</v>
      </c>
      <c r="G35" s="5" t="s">
        <v>51</v>
      </c>
      <c r="H35" s="5" t="s">
        <v>51</v>
      </c>
      <c r="I35" s="5" t="s">
        <v>51</v>
      </c>
    </row>
    <row r="36" spans="1:9" x14ac:dyDescent="0.2">
      <c r="A36" s="4" t="s">
        <v>10</v>
      </c>
      <c r="B36" s="5" t="s">
        <v>52</v>
      </c>
      <c r="C36" s="5" t="s">
        <v>52</v>
      </c>
      <c r="D36" s="5" t="s">
        <v>52</v>
      </c>
      <c r="E36" s="5" t="s">
        <v>52</v>
      </c>
      <c r="F36" s="5" t="s">
        <v>53</v>
      </c>
      <c r="G36" s="5" t="s">
        <v>53</v>
      </c>
      <c r="H36" s="5" t="s">
        <v>53</v>
      </c>
      <c r="I36" s="5" t="s">
        <v>53</v>
      </c>
    </row>
    <row r="37" spans="1:9" x14ac:dyDescent="0.2">
      <c r="A37" s="4" t="s">
        <v>13</v>
      </c>
      <c r="B37" s="5" t="s">
        <v>54</v>
      </c>
      <c r="C37" s="5" t="s">
        <v>54</v>
      </c>
      <c r="D37" s="5" t="s">
        <v>54</v>
      </c>
      <c r="E37" s="5" t="s">
        <v>54</v>
      </c>
      <c r="F37" s="5" t="s">
        <v>55</v>
      </c>
      <c r="G37" s="5" t="s">
        <v>55</v>
      </c>
      <c r="H37" s="5" t="s">
        <v>55</v>
      </c>
      <c r="I37" s="5" t="s">
        <v>54</v>
      </c>
    </row>
    <row r="38" spans="1:9" x14ac:dyDescent="0.2">
      <c r="A38" s="6" t="s">
        <v>16</v>
      </c>
      <c r="B38" s="5" t="s">
        <v>56</v>
      </c>
      <c r="C38" s="5" t="s">
        <v>56</v>
      </c>
      <c r="D38" s="5" t="s">
        <v>56</v>
      </c>
      <c r="E38" s="5" t="s">
        <v>56</v>
      </c>
      <c r="F38" s="5" t="s">
        <v>57</v>
      </c>
      <c r="G38" s="5" t="s">
        <v>57</v>
      </c>
      <c r="H38" s="5" t="s">
        <v>57</v>
      </c>
      <c r="I38" s="5" t="s">
        <v>57</v>
      </c>
    </row>
  </sheetData>
  <mergeCells count="6">
    <mergeCell ref="A1:I1"/>
    <mergeCell ref="A11:I11"/>
    <mergeCell ref="A21:I21"/>
    <mergeCell ref="A31:I31"/>
    <mergeCell ref="L1:T1"/>
    <mergeCell ref="L11:T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C6E9-9DAD-1044-BA59-F753E7E16AE3}">
  <dimension ref="A1:FS1189"/>
  <sheetViews>
    <sheetView zoomScale="85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70" sqref="N170"/>
    </sheetView>
  </sheetViews>
  <sheetFormatPr baseColWidth="10" defaultColWidth="10.6640625" defaultRowHeight="16" x14ac:dyDescent="0.2"/>
  <cols>
    <col min="1" max="1" width="10.83203125" style="5"/>
    <col min="2" max="2" width="17" style="17" customWidth="1"/>
    <col min="3" max="4" width="15" style="5" customWidth="1"/>
    <col min="5" max="5" width="15.1640625" style="5" customWidth="1"/>
    <col min="6" max="6" width="10.83203125" style="37"/>
    <col min="7" max="7" width="17.33203125" style="17" customWidth="1"/>
    <col min="8" max="10" width="13.5" style="5" bestFit="1" customWidth="1"/>
    <col min="11" max="11" width="10.83203125" style="37"/>
    <col min="12" max="12" width="18.5" style="17" customWidth="1"/>
    <col min="13" max="13" width="15.1640625" style="5" customWidth="1"/>
    <col min="14" max="15" width="13.5" style="5" bestFit="1" customWidth="1"/>
    <col min="16" max="16" width="10.83203125" style="37"/>
    <col min="17" max="17" width="18.5" style="10" customWidth="1"/>
    <col min="18" max="20" width="14.5" bestFit="1" customWidth="1"/>
    <col min="21" max="21" width="10.83203125" style="38"/>
  </cols>
  <sheetData>
    <row r="1" spans="1:175" s="11" customFormat="1" x14ac:dyDescent="0.2">
      <c r="A1" s="8" t="s">
        <v>58</v>
      </c>
      <c r="B1" s="71" t="s">
        <v>0</v>
      </c>
      <c r="C1" s="72"/>
      <c r="D1" s="72"/>
      <c r="E1" s="72"/>
      <c r="F1" s="9"/>
      <c r="G1" s="71" t="s">
        <v>19</v>
      </c>
      <c r="H1" s="72"/>
      <c r="I1" s="72"/>
      <c r="J1" s="72"/>
      <c r="K1" s="9"/>
      <c r="L1" s="71" t="s">
        <v>32</v>
      </c>
      <c r="M1" s="72"/>
      <c r="N1" s="72"/>
      <c r="O1" s="72"/>
      <c r="P1" s="9"/>
      <c r="Q1" s="73" t="s">
        <v>45</v>
      </c>
      <c r="R1" s="74"/>
      <c r="S1" s="74"/>
      <c r="T1" s="74"/>
      <c r="U1" s="74"/>
      <c r="V1" s="10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</row>
    <row r="2" spans="1:175" x14ac:dyDescent="0.2">
      <c r="A2" s="12">
        <v>1</v>
      </c>
      <c r="B2" s="13" t="s">
        <v>59</v>
      </c>
      <c r="C2" s="12" t="s">
        <v>60</v>
      </c>
      <c r="D2" s="12" t="s">
        <v>61</v>
      </c>
      <c r="E2" s="14" t="s">
        <v>62</v>
      </c>
      <c r="F2" s="15"/>
      <c r="G2" s="13" t="s">
        <v>59</v>
      </c>
      <c r="H2" s="12" t="s">
        <v>60</v>
      </c>
      <c r="I2" s="12" t="s">
        <v>61</v>
      </c>
      <c r="J2" s="14" t="s">
        <v>62</v>
      </c>
      <c r="K2" s="15"/>
      <c r="L2" s="13" t="s">
        <v>59</v>
      </c>
      <c r="M2" s="12" t="s">
        <v>60</v>
      </c>
      <c r="N2" s="12" t="s">
        <v>61</v>
      </c>
      <c r="O2" s="14" t="s">
        <v>62</v>
      </c>
      <c r="P2" s="15"/>
      <c r="Q2" s="13" t="s">
        <v>59</v>
      </c>
      <c r="R2" s="12" t="s">
        <v>60</v>
      </c>
      <c r="S2" s="12" t="s">
        <v>61</v>
      </c>
      <c r="T2" s="14" t="s">
        <v>62</v>
      </c>
      <c r="U2"/>
      <c r="V2" s="10"/>
    </row>
    <row r="3" spans="1:175" x14ac:dyDescent="0.2">
      <c r="A3" s="16">
        <v>1</v>
      </c>
      <c r="B3" s="17">
        <v>6</v>
      </c>
      <c r="C3" s="5">
        <v>1</v>
      </c>
      <c r="D3" s="5">
        <v>3</v>
      </c>
      <c r="E3" s="18">
        <v>3</v>
      </c>
      <c r="F3" s="19" t="s">
        <v>63</v>
      </c>
      <c r="G3" s="5">
        <v>1</v>
      </c>
      <c r="H3" s="5">
        <v>0</v>
      </c>
      <c r="I3" s="5">
        <v>1</v>
      </c>
      <c r="J3" s="18">
        <v>3</v>
      </c>
      <c r="K3" s="19" t="s">
        <v>63</v>
      </c>
      <c r="L3" s="17">
        <v>0</v>
      </c>
      <c r="M3" s="5">
        <v>2</v>
      </c>
      <c r="N3" s="5">
        <v>1</v>
      </c>
      <c r="O3" s="18">
        <v>0</v>
      </c>
      <c r="P3" s="19" t="s">
        <v>63</v>
      </c>
      <c r="Q3" s="17">
        <v>0</v>
      </c>
      <c r="R3" s="5">
        <v>1</v>
      </c>
      <c r="S3" s="5">
        <v>2</v>
      </c>
      <c r="T3" s="18">
        <v>3</v>
      </c>
      <c r="U3" s="20" t="s">
        <v>63</v>
      </c>
      <c r="V3" s="10"/>
    </row>
    <row r="4" spans="1:175" x14ac:dyDescent="0.2">
      <c r="A4" s="16">
        <v>2</v>
      </c>
      <c r="B4" s="17">
        <v>0</v>
      </c>
      <c r="C4" s="5">
        <v>1</v>
      </c>
      <c r="D4" s="5">
        <v>2</v>
      </c>
      <c r="E4" s="18">
        <v>2</v>
      </c>
      <c r="F4" s="21">
        <f>AVERAGE(B12:E12)</f>
        <v>25.5</v>
      </c>
      <c r="G4" s="5">
        <v>1</v>
      </c>
      <c r="H4" s="5">
        <v>1</v>
      </c>
      <c r="I4" s="5">
        <v>4</v>
      </c>
      <c r="J4" s="18">
        <v>2</v>
      </c>
      <c r="K4" s="21">
        <f>AVERAGE(G12:J12)</f>
        <v>17</v>
      </c>
      <c r="L4" s="17">
        <v>0</v>
      </c>
      <c r="M4" s="5">
        <v>0</v>
      </c>
      <c r="N4" s="5">
        <v>0</v>
      </c>
      <c r="O4" s="18">
        <v>0</v>
      </c>
      <c r="P4" s="21">
        <f>AVERAGE(L12:O12)</f>
        <v>3.5</v>
      </c>
      <c r="Q4" s="22">
        <v>5</v>
      </c>
      <c r="R4" s="7">
        <v>0</v>
      </c>
      <c r="S4" s="7">
        <v>0</v>
      </c>
      <c r="T4" s="23">
        <v>0</v>
      </c>
      <c r="U4" s="24">
        <f>AVERAGE(Q12:T12)</f>
        <v>7.5</v>
      </c>
      <c r="V4" s="10"/>
    </row>
    <row r="5" spans="1:175" x14ac:dyDescent="0.2">
      <c r="A5" s="16">
        <v>3</v>
      </c>
      <c r="B5" s="17">
        <v>0</v>
      </c>
      <c r="C5" s="5">
        <v>2</v>
      </c>
      <c r="D5" s="5">
        <v>3</v>
      </c>
      <c r="E5" s="18">
        <v>5</v>
      </c>
      <c r="F5" s="15"/>
      <c r="G5" s="17">
        <v>0</v>
      </c>
      <c r="H5" s="5">
        <v>1</v>
      </c>
      <c r="I5" s="5">
        <v>2</v>
      </c>
      <c r="J5" s="18">
        <v>4</v>
      </c>
      <c r="K5" s="15"/>
      <c r="L5" s="17">
        <v>1</v>
      </c>
      <c r="M5" s="5">
        <v>0</v>
      </c>
      <c r="N5" s="5">
        <v>0</v>
      </c>
      <c r="O5" s="18">
        <v>0</v>
      </c>
      <c r="P5" s="15"/>
      <c r="Q5" s="22">
        <v>0</v>
      </c>
      <c r="R5" s="7">
        <v>0</v>
      </c>
      <c r="S5" s="7">
        <v>1</v>
      </c>
      <c r="T5" s="23">
        <v>0</v>
      </c>
      <c r="U5" s="18"/>
      <c r="V5" s="10"/>
    </row>
    <row r="6" spans="1:175" x14ac:dyDescent="0.2">
      <c r="A6" s="16">
        <v>4</v>
      </c>
      <c r="B6" s="17">
        <v>13</v>
      </c>
      <c r="C6" s="5">
        <v>8</v>
      </c>
      <c r="D6" s="5">
        <v>8</v>
      </c>
      <c r="E6" s="18">
        <v>9</v>
      </c>
      <c r="F6" s="19" t="s">
        <v>64</v>
      </c>
      <c r="G6" s="17">
        <v>14</v>
      </c>
      <c r="H6" s="5">
        <v>6</v>
      </c>
      <c r="I6" s="5">
        <v>5</v>
      </c>
      <c r="J6" s="18">
        <v>2</v>
      </c>
      <c r="K6" s="19" t="s">
        <v>64</v>
      </c>
      <c r="L6" s="17">
        <v>0</v>
      </c>
      <c r="M6" s="5">
        <v>2</v>
      </c>
      <c r="N6" s="5">
        <v>1</v>
      </c>
      <c r="O6" s="18">
        <v>1</v>
      </c>
      <c r="P6" s="19" t="s">
        <v>64</v>
      </c>
      <c r="Q6" s="22">
        <v>0</v>
      </c>
      <c r="R6" s="7">
        <v>6</v>
      </c>
      <c r="S6" s="7">
        <v>2</v>
      </c>
      <c r="T6" s="23">
        <v>0</v>
      </c>
      <c r="U6" s="20" t="s">
        <v>64</v>
      </c>
      <c r="V6" s="10"/>
    </row>
    <row r="7" spans="1:175" x14ac:dyDescent="0.2">
      <c r="A7" s="16">
        <v>5</v>
      </c>
      <c r="B7" s="17">
        <v>0</v>
      </c>
      <c r="C7" s="5">
        <v>1</v>
      </c>
      <c r="D7" s="5">
        <v>3</v>
      </c>
      <c r="E7" s="18">
        <v>0</v>
      </c>
      <c r="F7" s="15">
        <f>(F4*10)*1750</f>
        <v>446250</v>
      </c>
      <c r="G7" s="17">
        <v>3</v>
      </c>
      <c r="H7" s="5">
        <v>3</v>
      </c>
      <c r="I7" s="5">
        <v>3</v>
      </c>
      <c r="J7" s="18">
        <v>2</v>
      </c>
      <c r="K7" s="15">
        <f>(K4*10)*1750</f>
        <v>297500</v>
      </c>
      <c r="L7" s="17">
        <v>1</v>
      </c>
      <c r="M7" s="5">
        <v>0</v>
      </c>
      <c r="N7" s="5">
        <v>0</v>
      </c>
      <c r="O7" s="18">
        <v>0</v>
      </c>
      <c r="P7" s="15">
        <f>(P4*10)*1750</f>
        <v>61250</v>
      </c>
      <c r="Q7" s="22">
        <v>0</v>
      </c>
      <c r="R7" s="7">
        <v>0</v>
      </c>
      <c r="S7" s="7">
        <v>0</v>
      </c>
      <c r="T7" s="23">
        <v>0</v>
      </c>
      <c r="U7" s="18">
        <f>(U4*10)*1000</f>
        <v>75000</v>
      </c>
      <c r="V7" s="10"/>
    </row>
    <row r="8" spans="1:175" x14ac:dyDescent="0.2">
      <c r="A8" s="16">
        <v>6</v>
      </c>
      <c r="B8" s="17">
        <v>1</v>
      </c>
      <c r="C8" s="5">
        <v>4</v>
      </c>
      <c r="D8" s="5">
        <v>5</v>
      </c>
      <c r="E8" s="18">
        <v>3</v>
      </c>
      <c r="F8" s="15"/>
      <c r="G8" s="17">
        <v>1</v>
      </c>
      <c r="H8" s="5">
        <v>3</v>
      </c>
      <c r="I8" s="5">
        <v>1</v>
      </c>
      <c r="J8" s="18">
        <v>1</v>
      </c>
      <c r="K8" s="15"/>
      <c r="L8" s="17">
        <v>0</v>
      </c>
      <c r="M8" s="5">
        <v>1</v>
      </c>
      <c r="N8" s="5">
        <v>1</v>
      </c>
      <c r="O8" s="18">
        <v>0</v>
      </c>
      <c r="P8" s="15"/>
      <c r="Q8" s="22">
        <v>3</v>
      </c>
      <c r="R8" s="7">
        <v>0</v>
      </c>
      <c r="S8" s="7">
        <v>0</v>
      </c>
      <c r="T8" s="23">
        <v>4</v>
      </c>
      <c r="U8" s="18"/>
      <c r="V8" s="10"/>
    </row>
    <row r="9" spans="1:175" x14ac:dyDescent="0.2">
      <c r="A9" s="16">
        <v>7</v>
      </c>
      <c r="B9" s="17">
        <v>0</v>
      </c>
      <c r="C9" s="5">
        <v>3</v>
      </c>
      <c r="D9" s="5">
        <v>2</v>
      </c>
      <c r="E9" s="18">
        <v>1</v>
      </c>
      <c r="F9" s="25" t="s">
        <v>65</v>
      </c>
      <c r="G9" s="17">
        <v>0</v>
      </c>
      <c r="H9" s="5">
        <v>0</v>
      </c>
      <c r="I9" s="5">
        <v>0</v>
      </c>
      <c r="J9" s="18">
        <v>1</v>
      </c>
      <c r="K9" s="25" t="s">
        <v>65</v>
      </c>
      <c r="L9" s="17">
        <v>0</v>
      </c>
      <c r="M9" s="5">
        <v>0</v>
      </c>
      <c r="N9" s="5">
        <v>0</v>
      </c>
      <c r="O9" s="18">
        <v>2</v>
      </c>
      <c r="P9" s="25" t="s">
        <v>65</v>
      </c>
      <c r="Q9" s="22">
        <v>0</v>
      </c>
      <c r="R9" s="7">
        <v>1</v>
      </c>
      <c r="S9" s="7">
        <v>0</v>
      </c>
      <c r="T9" s="23">
        <v>0</v>
      </c>
      <c r="U9" s="26" t="s">
        <v>66</v>
      </c>
      <c r="V9" s="10"/>
    </row>
    <row r="10" spans="1:175" x14ac:dyDescent="0.2">
      <c r="A10" s="16">
        <v>8</v>
      </c>
      <c r="B10" s="17">
        <v>2</v>
      </c>
      <c r="C10" s="5">
        <v>5</v>
      </c>
      <c r="D10" s="5">
        <v>1</v>
      </c>
      <c r="E10" s="18">
        <v>5</v>
      </c>
      <c r="F10" s="15"/>
      <c r="G10" s="17">
        <v>0</v>
      </c>
      <c r="H10" s="5">
        <v>1</v>
      </c>
      <c r="I10" s="5">
        <v>1</v>
      </c>
      <c r="J10" s="18">
        <v>1</v>
      </c>
      <c r="K10" s="15"/>
      <c r="L10" s="17">
        <v>0</v>
      </c>
      <c r="M10" s="5">
        <v>1</v>
      </c>
      <c r="N10" s="5">
        <v>0</v>
      </c>
      <c r="O10" s="18">
        <v>0</v>
      </c>
      <c r="P10" s="25"/>
      <c r="Q10" s="22">
        <v>0</v>
      </c>
      <c r="R10" s="7">
        <v>1</v>
      </c>
      <c r="S10" s="7">
        <v>1</v>
      </c>
      <c r="T10" s="23">
        <v>0</v>
      </c>
      <c r="U10" s="18"/>
      <c r="V10" s="10"/>
    </row>
    <row r="11" spans="1:175" x14ac:dyDescent="0.2">
      <c r="A11" s="27"/>
      <c r="B11" s="28" t="s">
        <v>64</v>
      </c>
      <c r="C11" s="29" t="s">
        <v>64</v>
      </c>
      <c r="D11" s="29" t="s">
        <v>64</v>
      </c>
      <c r="E11" s="29" t="s">
        <v>64</v>
      </c>
      <c r="F11" s="19"/>
      <c r="G11" s="28" t="s">
        <v>64</v>
      </c>
      <c r="H11" s="29" t="s">
        <v>64</v>
      </c>
      <c r="I11" s="29" t="s">
        <v>64</v>
      </c>
      <c r="J11" s="29" t="s">
        <v>64</v>
      </c>
      <c r="K11" s="19"/>
      <c r="L11" s="28" t="s">
        <v>64</v>
      </c>
      <c r="M11" s="29" t="s">
        <v>64</v>
      </c>
      <c r="N11" s="29" t="s">
        <v>64</v>
      </c>
      <c r="O11" s="29" t="s">
        <v>64</v>
      </c>
      <c r="P11" s="19"/>
      <c r="Q11" s="28" t="s">
        <v>64</v>
      </c>
      <c r="R11" s="29" t="s">
        <v>64</v>
      </c>
      <c r="S11" s="29" t="s">
        <v>64</v>
      </c>
      <c r="T11" s="29" t="s">
        <v>64</v>
      </c>
      <c r="U11" s="20"/>
      <c r="V11" s="10"/>
    </row>
    <row r="12" spans="1:175" s="11" customFormat="1" x14ac:dyDescent="0.2">
      <c r="A12" s="30"/>
      <c r="B12" s="31">
        <f>SUM(B3:B10)</f>
        <v>22</v>
      </c>
      <c r="C12" s="31">
        <f t="shared" ref="C12:E12" si="0">SUM(C3:C10)</f>
        <v>25</v>
      </c>
      <c r="D12" s="31">
        <f t="shared" si="0"/>
        <v>27</v>
      </c>
      <c r="E12" s="31">
        <f t="shared" si="0"/>
        <v>28</v>
      </c>
      <c r="F12" s="33"/>
      <c r="G12" s="31">
        <f>SUM(G3:G10)</f>
        <v>20</v>
      </c>
      <c r="H12" s="32">
        <f t="shared" ref="H12" si="1">SUM(H3:H10)</f>
        <v>15</v>
      </c>
      <c r="I12" s="32">
        <f>SUM(I3:I10)</f>
        <v>17</v>
      </c>
      <c r="J12" s="41">
        <f>SUM(J3:J10)</f>
        <v>16</v>
      </c>
      <c r="K12" s="33"/>
      <c r="L12" s="31">
        <f>SUM(L3:L10)</f>
        <v>2</v>
      </c>
      <c r="M12" s="32">
        <f t="shared" ref="M12:O12" si="2">SUM(M3:M10)</f>
        <v>6</v>
      </c>
      <c r="N12" s="32">
        <f t="shared" si="2"/>
        <v>3</v>
      </c>
      <c r="O12" s="32">
        <f t="shared" si="2"/>
        <v>3</v>
      </c>
      <c r="P12" s="33"/>
      <c r="Q12" s="31">
        <f>SUM(Q3:Q10)</f>
        <v>8</v>
      </c>
      <c r="R12" s="32">
        <f t="shared" ref="R12:T12" si="3">SUM(R3:R10)</f>
        <v>9</v>
      </c>
      <c r="S12" s="32">
        <f t="shared" si="3"/>
        <v>6</v>
      </c>
      <c r="T12" s="32">
        <f t="shared" si="3"/>
        <v>7</v>
      </c>
      <c r="U12" s="34"/>
      <c r="V12" s="10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</row>
    <row r="13" spans="1:175" x14ac:dyDescent="0.2">
      <c r="A13" s="12">
        <v>2</v>
      </c>
      <c r="B13" s="13" t="s">
        <v>59</v>
      </c>
      <c r="C13" s="12" t="s">
        <v>60</v>
      </c>
      <c r="D13" s="12" t="s">
        <v>61</v>
      </c>
      <c r="E13" s="14" t="s">
        <v>62</v>
      </c>
      <c r="F13" s="15"/>
      <c r="G13" s="13" t="s">
        <v>59</v>
      </c>
      <c r="H13" s="12" t="s">
        <v>60</v>
      </c>
      <c r="I13" s="12" t="s">
        <v>61</v>
      </c>
      <c r="J13" s="14" t="s">
        <v>62</v>
      </c>
      <c r="K13" s="15"/>
      <c r="L13" s="13" t="s">
        <v>59</v>
      </c>
      <c r="M13" s="12" t="s">
        <v>60</v>
      </c>
      <c r="N13" s="12" t="s">
        <v>61</v>
      </c>
      <c r="O13" s="14" t="s">
        <v>62</v>
      </c>
      <c r="P13" s="15"/>
      <c r="Q13" s="13" t="s">
        <v>59</v>
      </c>
      <c r="R13" s="12" t="s">
        <v>60</v>
      </c>
      <c r="S13" s="12" t="s">
        <v>61</v>
      </c>
      <c r="T13" s="14" t="s">
        <v>62</v>
      </c>
      <c r="U13" s="18"/>
      <c r="V13" s="10"/>
    </row>
    <row r="14" spans="1:175" x14ac:dyDescent="0.2">
      <c r="A14" s="16">
        <v>1</v>
      </c>
      <c r="B14" s="17">
        <v>3</v>
      </c>
      <c r="C14" s="5">
        <v>0</v>
      </c>
      <c r="D14" s="5">
        <v>1</v>
      </c>
      <c r="E14" s="18">
        <v>0</v>
      </c>
      <c r="F14" s="19" t="s">
        <v>63</v>
      </c>
      <c r="G14" s="17">
        <v>0</v>
      </c>
      <c r="H14" s="5">
        <v>0</v>
      </c>
      <c r="I14" s="5">
        <v>2</v>
      </c>
      <c r="J14" s="18">
        <v>2</v>
      </c>
      <c r="K14" s="19" t="s">
        <v>63</v>
      </c>
      <c r="L14" s="17">
        <v>0</v>
      </c>
      <c r="M14" s="5">
        <v>0</v>
      </c>
      <c r="N14" s="5">
        <v>1</v>
      </c>
      <c r="O14" s="18">
        <v>1</v>
      </c>
      <c r="P14" s="19" t="s">
        <v>63</v>
      </c>
      <c r="Q14" s="22">
        <v>1</v>
      </c>
      <c r="R14" s="7">
        <v>3</v>
      </c>
      <c r="S14" s="7">
        <v>0</v>
      </c>
      <c r="T14" s="23">
        <v>2</v>
      </c>
      <c r="U14" s="20" t="s">
        <v>63</v>
      </c>
      <c r="V14" s="10"/>
    </row>
    <row r="15" spans="1:175" x14ac:dyDescent="0.2">
      <c r="A15" s="16">
        <v>2</v>
      </c>
      <c r="B15" s="17">
        <v>2</v>
      </c>
      <c r="C15" s="5">
        <v>3</v>
      </c>
      <c r="D15" s="5">
        <v>1</v>
      </c>
      <c r="E15" s="18">
        <v>1</v>
      </c>
      <c r="F15" s="21">
        <f>AVERAGE(B23:E23)</f>
        <v>13.75</v>
      </c>
      <c r="G15" s="17">
        <v>0</v>
      </c>
      <c r="H15" s="5">
        <v>1</v>
      </c>
      <c r="I15" s="5">
        <v>1</v>
      </c>
      <c r="J15" s="18">
        <v>1</v>
      </c>
      <c r="K15" s="21">
        <f>AVERAGE(G23:J23)</f>
        <v>8</v>
      </c>
      <c r="L15" s="17">
        <v>4</v>
      </c>
      <c r="M15" s="5">
        <v>1</v>
      </c>
      <c r="N15" s="5">
        <v>1</v>
      </c>
      <c r="O15" s="18">
        <v>0</v>
      </c>
      <c r="P15" s="21">
        <f>AVERAGE(L23:O23)</f>
        <v>9.25</v>
      </c>
      <c r="Q15" s="22">
        <v>0</v>
      </c>
      <c r="R15" s="7">
        <v>2</v>
      </c>
      <c r="S15" s="7">
        <v>1</v>
      </c>
      <c r="T15" s="23">
        <v>1</v>
      </c>
      <c r="U15" s="24">
        <f>AVERAGE(Q23:T23)</f>
        <v>8.25</v>
      </c>
      <c r="V15" s="10"/>
    </row>
    <row r="16" spans="1:175" x14ac:dyDescent="0.2">
      <c r="A16" s="16">
        <v>3</v>
      </c>
      <c r="B16" s="17">
        <v>3</v>
      </c>
      <c r="C16" s="5">
        <v>0</v>
      </c>
      <c r="D16" s="5">
        <v>1</v>
      </c>
      <c r="E16" s="18">
        <v>1</v>
      </c>
      <c r="F16" s="15"/>
      <c r="G16" s="17">
        <v>0</v>
      </c>
      <c r="H16" s="5">
        <v>0</v>
      </c>
      <c r="I16" s="5">
        <v>0</v>
      </c>
      <c r="J16" s="18">
        <v>1</v>
      </c>
      <c r="K16" s="15"/>
      <c r="L16" s="17">
        <v>1</v>
      </c>
      <c r="M16" s="5">
        <v>1</v>
      </c>
      <c r="N16" s="5">
        <v>3</v>
      </c>
      <c r="O16" s="18">
        <v>1</v>
      </c>
      <c r="P16" s="15"/>
      <c r="Q16" s="22">
        <v>2</v>
      </c>
      <c r="R16" s="7">
        <v>1</v>
      </c>
      <c r="S16" s="7">
        <v>1</v>
      </c>
      <c r="T16" s="23">
        <v>0</v>
      </c>
      <c r="U16" s="18"/>
      <c r="V16" s="10"/>
    </row>
    <row r="17" spans="1:175" x14ac:dyDescent="0.2">
      <c r="A17" s="16">
        <v>4</v>
      </c>
      <c r="B17" s="17">
        <v>3</v>
      </c>
      <c r="C17" s="5">
        <v>1</v>
      </c>
      <c r="D17" s="5">
        <v>1</v>
      </c>
      <c r="E17" s="18">
        <v>11</v>
      </c>
      <c r="F17" s="19" t="s">
        <v>64</v>
      </c>
      <c r="G17" s="17">
        <v>2</v>
      </c>
      <c r="H17" s="5">
        <v>2</v>
      </c>
      <c r="I17" s="5">
        <v>0</v>
      </c>
      <c r="J17" s="18">
        <v>1</v>
      </c>
      <c r="K17" s="19" t="s">
        <v>64</v>
      </c>
      <c r="L17" s="17">
        <v>0</v>
      </c>
      <c r="M17" s="5">
        <v>1</v>
      </c>
      <c r="N17" s="5">
        <v>0</v>
      </c>
      <c r="O17" s="18">
        <v>2</v>
      </c>
      <c r="P17" s="19" t="s">
        <v>64</v>
      </c>
      <c r="Q17" s="22">
        <v>0</v>
      </c>
      <c r="R17" s="7">
        <v>2</v>
      </c>
      <c r="S17" s="7">
        <v>0</v>
      </c>
      <c r="T17" s="23">
        <v>1</v>
      </c>
      <c r="U17" s="20" t="s">
        <v>64</v>
      </c>
      <c r="V17" s="10"/>
    </row>
    <row r="18" spans="1:175" x14ac:dyDescent="0.2">
      <c r="A18" s="16">
        <v>5</v>
      </c>
      <c r="B18" s="17">
        <v>2</v>
      </c>
      <c r="C18" s="5">
        <v>4</v>
      </c>
      <c r="D18" s="5">
        <v>2</v>
      </c>
      <c r="E18" s="18">
        <v>0</v>
      </c>
      <c r="F18" s="15">
        <f>(F15*10)*1750</f>
        <v>240625</v>
      </c>
      <c r="G18" s="17">
        <v>3</v>
      </c>
      <c r="H18" s="5">
        <v>4</v>
      </c>
      <c r="I18" s="5">
        <v>3</v>
      </c>
      <c r="J18" s="18">
        <v>1</v>
      </c>
      <c r="K18" s="15">
        <f>(K15*10)*1750</f>
        <v>140000</v>
      </c>
      <c r="L18" s="17">
        <v>1</v>
      </c>
      <c r="M18" s="5">
        <v>0</v>
      </c>
      <c r="N18" s="5">
        <v>1</v>
      </c>
      <c r="O18" s="18">
        <v>3</v>
      </c>
      <c r="P18" s="15">
        <f>(P15*10)*1750</f>
        <v>161875</v>
      </c>
      <c r="Q18" s="22">
        <v>6</v>
      </c>
      <c r="R18" s="7">
        <v>0</v>
      </c>
      <c r="S18" s="7">
        <v>0</v>
      </c>
      <c r="T18" s="23">
        <v>4</v>
      </c>
      <c r="U18" s="18">
        <f>(U15*10)*1000</f>
        <v>82500</v>
      </c>
      <c r="V18" s="10"/>
    </row>
    <row r="19" spans="1:175" x14ac:dyDescent="0.2">
      <c r="A19" s="16">
        <v>6</v>
      </c>
      <c r="B19" s="17">
        <v>2</v>
      </c>
      <c r="C19" s="5">
        <v>0</v>
      </c>
      <c r="D19" s="5">
        <v>0</v>
      </c>
      <c r="E19" s="18">
        <v>3</v>
      </c>
      <c r="F19" s="15"/>
      <c r="G19" s="17">
        <v>0</v>
      </c>
      <c r="H19" s="5">
        <v>1</v>
      </c>
      <c r="I19" s="5">
        <v>1</v>
      </c>
      <c r="J19" s="18">
        <v>1</v>
      </c>
      <c r="K19" s="15"/>
      <c r="L19" s="17">
        <v>2</v>
      </c>
      <c r="M19" s="5">
        <v>2</v>
      </c>
      <c r="N19" s="5">
        <v>2</v>
      </c>
      <c r="O19" s="18">
        <v>2</v>
      </c>
      <c r="P19" s="15"/>
      <c r="Q19" s="22">
        <v>1</v>
      </c>
      <c r="R19" s="7">
        <v>1</v>
      </c>
      <c r="S19" s="7">
        <v>2</v>
      </c>
      <c r="T19" s="23">
        <v>0</v>
      </c>
      <c r="U19" s="18"/>
      <c r="V19" s="10"/>
    </row>
    <row r="20" spans="1:175" x14ac:dyDescent="0.2">
      <c r="A20" s="16">
        <v>7</v>
      </c>
      <c r="B20" s="17">
        <v>1</v>
      </c>
      <c r="C20" s="5">
        <v>3</v>
      </c>
      <c r="D20" s="5">
        <v>0</v>
      </c>
      <c r="E20" s="18">
        <v>0</v>
      </c>
      <c r="F20" s="15"/>
      <c r="G20" s="17">
        <v>0</v>
      </c>
      <c r="H20" s="5">
        <v>0</v>
      </c>
      <c r="I20" s="5">
        <v>2</v>
      </c>
      <c r="J20" s="18">
        <v>0</v>
      </c>
      <c r="K20" s="15"/>
      <c r="L20" s="17">
        <v>1</v>
      </c>
      <c r="M20" s="5">
        <v>3</v>
      </c>
      <c r="N20" s="5">
        <v>1</v>
      </c>
      <c r="O20" s="18">
        <v>1</v>
      </c>
      <c r="P20" s="15"/>
      <c r="Q20" s="22">
        <v>0</v>
      </c>
      <c r="R20" s="7">
        <v>0</v>
      </c>
      <c r="S20" s="7">
        <v>1</v>
      </c>
      <c r="T20" s="23">
        <v>0</v>
      </c>
      <c r="U20" s="18"/>
      <c r="V20" s="10"/>
    </row>
    <row r="21" spans="1:175" x14ac:dyDescent="0.2">
      <c r="A21" s="16">
        <v>8</v>
      </c>
      <c r="B21" s="17">
        <v>3</v>
      </c>
      <c r="C21" s="5">
        <v>1</v>
      </c>
      <c r="D21" s="5">
        <v>2</v>
      </c>
      <c r="E21" s="18">
        <v>0</v>
      </c>
      <c r="F21" s="15"/>
      <c r="G21" s="17">
        <v>1</v>
      </c>
      <c r="H21" s="5">
        <v>0</v>
      </c>
      <c r="I21" s="5">
        <v>1</v>
      </c>
      <c r="J21" s="18">
        <v>1</v>
      </c>
      <c r="K21" s="15"/>
      <c r="L21" s="17">
        <v>0</v>
      </c>
      <c r="M21" s="5">
        <v>0</v>
      </c>
      <c r="N21" s="5">
        <v>0</v>
      </c>
      <c r="O21" s="18">
        <v>1</v>
      </c>
      <c r="P21" s="15"/>
      <c r="Q21" s="22">
        <v>0</v>
      </c>
      <c r="R21" s="7">
        <v>0</v>
      </c>
      <c r="S21" s="7">
        <v>1</v>
      </c>
      <c r="T21" s="23">
        <v>0</v>
      </c>
      <c r="U21" s="18"/>
      <c r="V21" s="10"/>
    </row>
    <row r="22" spans="1:175" x14ac:dyDescent="0.2">
      <c r="A22" s="27"/>
      <c r="B22" s="28" t="s">
        <v>64</v>
      </c>
      <c r="C22" s="29" t="s">
        <v>64</v>
      </c>
      <c r="D22" s="29" t="s">
        <v>64</v>
      </c>
      <c r="E22" s="29" t="s">
        <v>64</v>
      </c>
      <c r="F22" s="19"/>
      <c r="G22" s="28" t="s">
        <v>64</v>
      </c>
      <c r="H22" s="29" t="s">
        <v>64</v>
      </c>
      <c r="I22" s="29" t="s">
        <v>64</v>
      </c>
      <c r="J22" s="29" t="s">
        <v>64</v>
      </c>
      <c r="K22" s="19"/>
      <c r="L22" s="28" t="s">
        <v>64</v>
      </c>
      <c r="M22" s="29" t="s">
        <v>64</v>
      </c>
      <c r="N22" s="29" t="s">
        <v>64</v>
      </c>
      <c r="O22" s="29" t="s">
        <v>64</v>
      </c>
      <c r="P22" s="19"/>
      <c r="Q22" s="28" t="s">
        <v>64</v>
      </c>
      <c r="R22" s="29" t="s">
        <v>64</v>
      </c>
      <c r="S22" s="29" t="s">
        <v>64</v>
      </c>
      <c r="T22" s="29" t="s">
        <v>64</v>
      </c>
      <c r="U22" s="20"/>
      <c r="V22" s="10"/>
    </row>
    <row r="23" spans="1:175" s="11" customFormat="1" x14ac:dyDescent="0.2">
      <c r="A23" s="30"/>
      <c r="B23" s="31">
        <f>SUM(B14:B21)</f>
        <v>19</v>
      </c>
      <c r="C23" s="31">
        <f t="shared" ref="C23:E23" si="4">SUM(C14:C21)</f>
        <v>12</v>
      </c>
      <c r="D23" s="31">
        <f t="shared" si="4"/>
        <v>8</v>
      </c>
      <c r="E23" s="31">
        <f t="shared" si="4"/>
        <v>16</v>
      </c>
      <c r="F23" s="33"/>
      <c r="G23" s="31">
        <f>SUM(G14:G21)</f>
        <v>6</v>
      </c>
      <c r="H23" s="32">
        <f t="shared" ref="H23:J23" si="5">SUM(H14:H21)</f>
        <v>8</v>
      </c>
      <c r="I23" s="32">
        <f t="shared" si="5"/>
        <v>10</v>
      </c>
      <c r="J23" s="32">
        <f t="shared" si="5"/>
        <v>8</v>
      </c>
      <c r="K23" s="33"/>
      <c r="L23" s="31">
        <f>SUM(L14:L21)</f>
        <v>9</v>
      </c>
      <c r="M23" s="32">
        <f t="shared" ref="M23:O23" si="6">SUM(M14:M21)</f>
        <v>8</v>
      </c>
      <c r="N23" s="32">
        <f t="shared" si="6"/>
        <v>9</v>
      </c>
      <c r="O23" s="32">
        <f t="shared" si="6"/>
        <v>11</v>
      </c>
      <c r="P23" s="33"/>
      <c r="Q23" s="31">
        <f>SUM(Q14:Q21)</f>
        <v>10</v>
      </c>
      <c r="R23" s="32">
        <f t="shared" ref="R23:T23" si="7">SUM(R14:R21)</f>
        <v>9</v>
      </c>
      <c r="S23" s="32">
        <f t="shared" si="7"/>
        <v>6</v>
      </c>
      <c r="T23" s="32">
        <f t="shared" si="7"/>
        <v>8</v>
      </c>
      <c r="U23" s="34"/>
      <c r="V23" s="10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</row>
    <row r="24" spans="1:175" x14ac:dyDescent="0.2">
      <c r="A24" s="12">
        <v>3</v>
      </c>
      <c r="B24" s="13" t="s">
        <v>59</v>
      </c>
      <c r="C24" s="12" t="s">
        <v>60</v>
      </c>
      <c r="D24" s="12" t="s">
        <v>61</v>
      </c>
      <c r="E24" s="14" t="s">
        <v>62</v>
      </c>
      <c r="F24" s="15"/>
      <c r="G24" s="13" t="s">
        <v>59</v>
      </c>
      <c r="H24" s="12" t="s">
        <v>60</v>
      </c>
      <c r="I24" s="12" t="s">
        <v>61</v>
      </c>
      <c r="J24" s="14" t="s">
        <v>62</v>
      </c>
      <c r="K24" s="15"/>
      <c r="L24" s="13" t="s">
        <v>59</v>
      </c>
      <c r="M24" s="12" t="s">
        <v>60</v>
      </c>
      <c r="N24" s="12" t="s">
        <v>61</v>
      </c>
      <c r="O24" s="14" t="s">
        <v>62</v>
      </c>
      <c r="P24" s="15"/>
      <c r="Q24" s="13" t="s">
        <v>59</v>
      </c>
      <c r="R24" s="12" t="s">
        <v>60</v>
      </c>
      <c r="S24" s="12" t="s">
        <v>61</v>
      </c>
      <c r="T24" s="14" t="s">
        <v>62</v>
      </c>
      <c r="U24" s="18"/>
      <c r="V24" s="10"/>
    </row>
    <row r="25" spans="1:175" x14ac:dyDescent="0.2">
      <c r="A25" s="16">
        <v>1</v>
      </c>
      <c r="B25" s="17">
        <v>0</v>
      </c>
      <c r="C25" s="5">
        <v>1</v>
      </c>
      <c r="D25" s="5">
        <v>1</v>
      </c>
      <c r="E25" s="18">
        <v>0</v>
      </c>
      <c r="F25" s="19" t="s">
        <v>63</v>
      </c>
      <c r="G25" s="17">
        <v>0</v>
      </c>
      <c r="H25" s="5">
        <v>0</v>
      </c>
      <c r="I25" s="5">
        <v>0</v>
      </c>
      <c r="J25" s="18">
        <v>0</v>
      </c>
      <c r="K25" s="19" t="s">
        <v>63</v>
      </c>
      <c r="L25" s="17">
        <v>1</v>
      </c>
      <c r="M25" s="5">
        <v>0</v>
      </c>
      <c r="N25" s="5">
        <v>0</v>
      </c>
      <c r="O25" s="18">
        <v>0</v>
      </c>
      <c r="P25" s="19" t="s">
        <v>63</v>
      </c>
      <c r="Q25" s="22">
        <v>0</v>
      </c>
      <c r="R25" s="7">
        <v>0</v>
      </c>
      <c r="S25" s="7">
        <v>2</v>
      </c>
      <c r="T25" s="23">
        <v>1</v>
      </c>
      <c r="U25" s="20" t="s">
        <v>63</v>
      </c>
      <c r="V25" s="10"/>
    </row>
    <row r="26" spans="1:175" x14ac:dyDescent="0.2">
      <c r="A26" s="16">
        <v>2</v>
      </c>
      <c r="B26" s="17">
        <v>2</v>
      </c>
      <c r="C26" s="5">
        <v>0</v>
      </c>
      <c r="D26" s="5">
        <v>0</v>
      </c>
      <c r="E26" s="18">
        <v>3</v>
      </c>
      <c r="F26" s="21">
        <f>AVERAGE(B34:E34)</f>
        <v>15</v>
      </c>
      <c r="G26" s="17">
        <v>3</v>
      </c>
      <c r="H26" s="5">
        <v>3</v>
      </c>
      <c r="I26" s="5">
        <v>1</v>
      </c>
      <c r="J26" s="18">
        <v>0</v>
      </c>
      <c r="K26" s="21">
        <f>AVERAGE(G34:J34)</f>
        <v>7</v>
      </c>
      <c r="L26" s="17">
        <v>2</v>
      </c>
      <c r="M26" s="5">
        <v>1</v>
      </c>
      <c r="N26" s="5">
        <v>0</v>
      </c>
      <c r="O26" s="18">
        <v>1</v>
      </c>
      <c r="P26" s="21">
        <f>AVERAGE(L34:O34)</f>
        <v>6</v>
      </c>
      <c r="Q26" s="22">
        <v>0</v>
      </c>
      <c r="R26" s="7">
        <v>0</v>
      </c>
      <c r="S26" s="7">
        <v>1</v>
      </c>
      <c r="T26" s="23">
        <v>0</v>
      </c>
      <c r="U26" s="24">
        <f>AVERAGE(Q34:T34)</f>
        <v>4</v>
      </c>
      <c r="V26" s="10"/>
    </row>
    <row r="27" spans="1:175" x14ac:dyDescent="0.2">
      <c r="A27" s="16">
        <v>3</v>
      </c>
      <c r="B27" s="17">
        <v>3</v>
      </c>
      <c r="C27" s="5">
        <v>3</v>
      </c>
      <c r="D27" s="5">
        <v>3</v>
      </c>
      <c r="E27" s="18">
        <v>1</v>
      </c>
      <c r="F27" s="15"/>
      <c r="G27" s="17">
        <v>0</v>
      </c>
      <c r="H27" s="5">
        <v>0</v>
      </c>
      <c r="I27" s="5">
        <v>0</v>
      </c>
      <c r="J27" s="18">
        <v>1</v>
      </c>
      <c r="K27" s="15"/>
      <c r="L27" s="17">
        <v>0</v>
      </c>
      <c r="M27" s="5">
        <v>1</v>
      </c>
      <c r="N27" s="5">
        <v>1</v>
      </c>
      <c r="O27" s="18">
        <v>0</v>
      </c>
      <c r="P27" s="15"/>
      <c r="Q27" s="22">
        <v>0</v>
      </c>
      <c r="R27" s="7">
        <v>3</v>
      </c>
      <c r="S27" s="7">
        <v>2</v>
      </c>
      <c r="T27" s="23">
        <v>0</v>
      </c>
      <c r="U27" s="18"/>
      <c r="V27" s="10"/>
    </row>
    <row r="28" spans="1:175" x14ac:dyDescent="0.2">
      <c r="A28" s="16">
        <v>4</v>
      </c>
      <c r="B28" s="17">
        <v>0</v>
      </c>
      <c r="C28" s="5">
        <v>2</v>
      </c>
      <c r="D28" s="5">
        <v>1</v>
      </c>
      <c r="E28" s="18">
        <v>2</v>
      </c>
      <c r="F28" s="19" t="s">
        <v>64</v>
      </c>
      <c r="G28" s="17">
        <v>1</v>
      </c>
      <c r="H28" s="5">
        <v>1</v>
      </c>
      <c r="I28" s="5">
        <v>2</v>
      </c>
      <c r="J28" s="18">
        <v>1</v>
      </c>
      <c r="K28" s="19" t="s">
        <v>64</v>
      </c>
      <c r="L28" s="17">
        <v>0</v>
      </c>
      <c r="M28" s="5">
        <v>2</v>
      </c>
      <c r="N28" s="5">
        <v>4</v>
      </c>
      <c r="O28" s="18">
        <v>1</v>
      </c>
      <c r="P28" s="19" t="s">
        <v>64</v>
      </c>
      <c r="Q28" s="22">
        <v>0</v>
      </c>
      <c r="R28" s="7">
        <v>0</v>
      </c>
      <c r="S28" s="7">
        <v>0</v>
      </c>
      <c r="T28" s="23">
        <v>0</v>
      </c>
      <c r="U28" s="20" t="s">
        <v>64</v>
      </c>
      <c r="V28" s="10"/>
    </row>
    <row r="29" spans="1:175" x14ac:dyDescent="0.2">
      <c r="A29" s="16">
        <v>5</v>
      </c>
      <c r="B29" s="17">
        <v>7</v>
      </c>
      <c r="C29" s="5">
        <v>0</v>
      </c>
      <c r="D29" s="5">
        <v>3</v>
      </c>
      <c r="E29" s="18">
        <v>1</v>
      </c>
      <c r="F29" s="15">
        <f>(F26*10)*1750</f>
        <v>262500</v>
      </c>
      <c r="G29" s="17">
        <v>0</v>
      </c>
      <c r="H29" s="5">
        <v>1</v>
      </c>
      <c r="I29" s="5">
        <v>0</v>
      </c>
      <c r="J29" s="18">
        <v>1</v>
      </c>
      <c r="K29" s="15">
        <f>(K26*10)*1750</f>
        <v>122500</v>
      </c>
      <c r="L29" s="17">
        <v>2</v>
      </c>
      <c r="M29" s="5">
        <v>0</v>
      </c>
      <c r="N29" s="5">
        <v>0</v>
      </c>
      <c r="O29" s="18">
        <v>1</v>
      </c>
      <c r="P29" s="15">
        <f>(P26*10)*1750</f>
        <v>105000</v>
      </c>
      <c r="Q29" s="22">
        <v>0</v>
      </c>
      <c r="R29" s="7">
        <v>0</v>
      </c>
      <c r="S29" s="7">
        <v>1</v>
      </c>
      <c r="T29" s="23">
        <v>1</v>
      </c>
      <c r="U29" s="18">
        <f>(U26*10)*1000</f>
        <v>40000</v>
      </c>
      <c r="V29" s="10"/>
    </row>
    <row r="30" spans="1:175" x14ac:dyDescent="0.2">
      <c r="A30" s="16">
        <v>6</v>
      </c>
      <c r="B30" s="17">
        <v>3</v>
      </c>
      <c r="C30" s="5">
        <v>2</v>
      </c>
      <c r="D30" s="5">
        <v>7</v>
      </c>
      <c r="E30" s="18">
        <v>4</v>
      </c>
      <c r="F30" s="15"/>
      <c r="G30" s="17">
        <v>2</v>
      </c>
      <c r="H30" s="5">
        <v>0</v>
      </c>
      <c r="I30" s="5">
        <v>3</v>
      </c>
      <c r="J30" s="18">
        <v>0</v>
      </c>
      <c r="K30" s="15"/>
      <c r="L30" s="17">
        <v>0</v>
      </c>
      <c r="M30" s="5">
        <v>1</v>
      </c>
      <c r="N30" s="5">
        <v>1</v>
      </c>
      <c r="O30" s="18">
        <v>2</v>
      </c>
      <c r="P30" s="15"/>
      <c r="Q30" s="22">
        <v>1</v>
      </c>
      <c r="R30" s="7">
        <v>1</v>
      </c>
      <c r="S30" s="7">
        <v>1</v>
      </c>
      <c r="T30" s="23">
        <v>0</v>
      </c>
      <c r="U30" s="18"/>
      <c r="V30" s="10"/>
    </row>
    <row r="31" spans="1:175" x14ac:dyDescent="0.2">
      <c r="A31" s="16">
        <v>7</v>
      </c>
      <c r="B31" s="17">
        <v>2</v>
      </c>
      <c r="C31" s="5">
        <v>2</v>
      </c>
      <c r="D31" s="5">
        <v>0</v>
      </c>
      <c r="E31" s="18">
        <v>1</v>
      </c>
      <c r="F31" s="15"/>
      <c r="G31" s="17">
        <v>0</v>
      </c>
      <c r="H31" s="5">
        <v>4</v>
      </c>
      <c r="I31" s="5">
        <v>0</v>
      </c>
      <c r="J31" s="18">
        <v>2</v>
      </c>
      <c r="K31" s="15"/>
      <c r="L31" s="17">
        <v>0</v>
      </c>
      <c r="M31" s="5">
        <v>0</v>
      </c>
      <c r="N31" s="5">
        <v>0</v>
      </c>
      <c r="O31" s="18">
        <v>0</v>
      </c>
      <c r="P31" s="15"/>
      <c r="Q31" s="22">
        <v>0</v>
      </c>
      <c r="R31" s="7">
        <v>0</v>
      </c>
      <c r="S31" s="7">
        <v>1</v>
      </c>
      <c r="T31" s="23">
        <v>0</v>
      </c>
      <c r="U31" s="18"/>
      <c r="V31" s="10"/>
    </row>
    <row r="32" spans="1:175" x14ac:dyDescent="0.2">
      <c r="A32" s="16">
        <v>8</v>
      </c>
      <c r="B32" s="17">
        <v>2</v>
      </c>
      <c r="C32" s="5">
        <v>2</v>
      </c>
      <c r="D32" s="5">
        <v>1</v>
      </c>
      <c r="E32" s="18">
        <v>1</v>
      </c>
      <c r="F32" s="15"/>
      <c r="G32" s="17">
        <v>0</v>
      </c>
      <c r="H32" s="5">
        <v>0</v>
      </c>
      <c r="I32" s="5">
        <v>1</v>
      </c>
      <c r="J32" s="18">
        <v>1</v>
      </c>
      <c r="K32" s="15"/>
      <c r="L32" s="17">
        <v>3</v>
      </c>
      <c r="M32" s="5">
        <v>0</v>
      </c>
      <c r="N32" s="5">
        <v>0</v>
      </c>
      <c r="O32" s="18">
        <v>0</v>
      </c>
      <c r="P32" s="15"/>
      <c r="Q32" s="22">
        <v>1</v>
      </c>
      <c r="R32" s="7">
        <v>0</v>
      </c>
      <c r="S32" s="7">
        <v>0</v>
      </c>
      <c r="T32" s="23">
        <v>0</v>
      </c>
      <c r="U32" s="18"/>
      <c r="V32" s="10"/>
    </row>
    <row r="33" spans="1:175" x14ac:dyDescent="0.2">
      <c r="A33" s="27"/>
      <c r="B33" s="28" t="s">
        <v>64</v>
      </c>
      <c r="C33" s="29" t="s">
        <v>64</v>
      </c>
      <c r="D33" s="29" t="s">
        <v>64</v>
      </c>
      <c r="E33" s="29" t="s">
        <v>64</v>
      </c>
      <c r="F33" s="19"/>
      <c r="G33" s="28" t="s">
        <v>64</v>
      </c>
      <c r="H33" s="29" t="s">
        <v>64</v>
      </c>
      <c r="I33" s="29" t="s">
        <v>64</v>
      </c>
      <c r="J33" s="29" t="s">
        <v>64</v>
      </c>
      <c r="K33" s="19"/>
      <c r="L33" s="28" t="s">
        <v>64</v>
      </c>
      <c r="M33" s="29" t="s">
        <v>64</v>
      </c>
      <c r="N33" s="29" t="s">
        <v>64</v>
      </c>
      <c r="O33" s="29" t="s">
        <v>64</v>
      </c>
      <c r="P33" s="19"/>
      <c r="Q33" s="28" t="s">
        <v>64</v>
      </c>
      <c r="R33" s="29" t="s">
        <v>64</v>
      </c>
      <c r="S33" s="29" t="s">
        <v>64</v>
      </c>
      <c r="T33" s="29" t="s">
        <v>64</v>
      </c>
      <c r="U33" s="20"/>
      <c r="V33" s="10"/>
    </row>
    <row r="34" spans="1:175" s="11" customFormat="1" x14ac:dyDescent="0.2">
      <c r="A34" s="30"/>
      <c r="B34" s="31">
        <f>SUM(B25:B32)</f>
        <v>19</v>
      </c>
      <c r="C34" s="32">
        <f t="shared" ref="C34:E34" si="8">SUM(C25:C32)</f>
        <v>12</v>
      </c>
      <c r="D34" s="32">
        <f t="shared" si="8"/>
        <v>16</v>
      </c>
      <c r="E34" s="32">
        <f t="shared" si="8"/>
        <v>13</v>
      </c>
      <c r="F34" s="33"/>
      <c r="G34" s="31">
        <f>SUM(G25:G32)</f>
        <v>6</v>
      </c>
      <c r="H34" s="32">
        <f t="shared" ref="H34:J34" si="9">SUM(H25:H32)</f>
        <v>9</v>
      </c>
      <c r="I34" s="32">
        <f t="shared" si="9"/>
        <v>7</v>
      </c>
      <c r="J34" s="32">
        <f t="shared" si="9"/>
        <v>6</v>
      </c>
      <c r="K34" s="33"/>
      <c r="L34" s="31">
        <f>SUM(L25:L32)</f>
        <v>8</v>
      </c>
      <c r="M34" s="32">
        <f t="shared" ref="M34:O34" si="10">SUM(M25:M32)</f>
        <v>5</v>
      </c>
      <c r="N34" s="32">
        <f t="shared" si="10"/>
        <v>6</v>
      </c>
      <c r="O34" s="32">
        <f t="shared" si="10"/>
        <v>5</v>
      </c>
      <c r="P34" s="35"/>
      <c r="Q34" s="31">
        <f>SUM(Q25:Q32)</f>
        <v>2</v>
      </c>
      <c r="R34" s="32">
        <f t="shared" ref="R34:T34" si="11">SUM(R25:R32)</f>
        <v>4</v>
      </c>
      <c r="S34" s="32">
        <f t="shared" si="11"/>
        <v>8</v>
      </c>
      <c r="T34" s="32">
        <f t="shared" si="11"/>
        <v>2</v>
      </c>
      <c r="U34" s="34"/>
      <c r="V34" s="10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</row>
    <row r="35" spans="1:175" x14ac:dyDescent="0.2">
      <c r="A35" s="12">
        <v>4</v>
      </c>
      <c r="B35" s="13" t="s">
        <v>59</v>
      </c>
      <c r="C35" s="12" t="s">
        <v>60</v>
      </c>
      <c r="D35" s="12" t="s">
        <v>61</v>
      </c>
      <c r="E35" s="14" t="s">
        <v>62</v>
      </c>
      <c r="F35" s="15"/>
      <c r="G35" s="13" t="s">
        <v>59</v>
      </c>
      <c r="H35" s="12" t="s">
        <v>60</v>
      </c>
      <c r="I35" s="12" t="s">
        <v>61</v>
      </c>
      <c r="J35" s="14" t="s">
        <v>62</v>
      </c>
      <c r="K35" s="15"/>
      <c r="L35" s="13" t="s">
        <v>59</v>
      </c>
      <c r="M35" s="12" t="s">
        <v>60</v>
      </c>
      <c r="N35" s="12" t="s">
        <v>61</v>
      </c>
      <c r="O35" s="14" t="s">
        <v>62</v>
      </c>
      <c r="P35" s="15"/>
      <c r="Q35" s="13" t="s">
        <v>59</v>
      </c>
      <c r="R35" s="12" t="s">
        <v>60</v>
      </c>
      <c r="S35" s="12" t="s">
        <v>61</v>
      </c>
      <c r="T35" s="14" t="s">
        <v>62</v>
      </c>
      <c r="U35" s="18"/>
      <c r="V35" s="10"/>
    </row>
    <row r="36" spans="1:175" x14ac:dyDescent="0.2">
      <c r="A36" s="16">
        <v>1</v>
      </c>
      <c r="B36" s="17">
        <v>1</v>
      </c>
      <c r="C36" s="5">
        <v>1</v>
      </c>
      <c r="D36" s="5">
        <v>0</v>
      </c>
      <c r="E36" s="18">
        <v>2</v>
      </c>
      <c r="F36" s="19" t="s">
        <v>63</v>
      </c>
      <c r="G36" s="17">
        <v>0</v>
      </c>
      <c r="H36" s="5">
        <v>0</v>
      </c>
      <c r="I36" s="5">
        <v>0</v>
      </c>
      <c r="J36" s="18">
        <v>0</v>
      </c>
      <c r="K36" s="19" t="s">
        <v>63</v>
      </c>
      <c r="L36" s="17">
        <v>0</v>
      </c>
      <c r="M36" s="5">
        <v>0</v>
      </c>
      <c r="N36" s="5">
        <v>0</v>
      </c>
      <c r="O36" s="18">
        <v>0</v>
      </c>
      <c r="P36" s="19" t="s">
        <v>63</v>
      </c>
      <c r="Q36" s="22">
        <v>0</v>
      </c>
      <c r="R36" s="7">
        <v>0</v>
      </c>
      <c r="S36" s="7">
        <v>0</v>
      </c>
      <c r="T36" s="23">
        <v>0</v>
      </c>
      <c r="U36" s="20" t="s">
        <v>63</v>
      </c>
      <c r="V36" s="10"/>
    </row>
    <row r="37" spans="1:175" x14ac:dyDescent="0.2">
      <c r="A37" s="16">
        <v>2</v>
      </c>
      <c r="B37" s="17">
        <v>0</v>
      </c>
      <c r="C37" s="5">
        <v>0</v>
      </c>
      <c r="D37" s="5">
        <v>2</v>
      </c>
      <c r="E37" s="18">
        <v>0</v>
      </c>
      <c r="F37" s="21">
        <f>AVERAGE(B45:E45)</f>
        <v>5</v>
      </c>
      <c r="G37" s="17">
        <v>0</v>
      </c>
      <c r="H37" s="5">
        <v>0</v>
      </c>
      <c r="I37" s="5">
        <v>0</v>
      </c>
      <c r="J37" s="18">
        <v>0</v>
      </c>
      <c r="K37" s="21">
        <f>AVERAGE(G45:J45)</f>
        <v>0.5</v>
      </c>
      <c r="L37" s="17">
        <v>0</v>
      </c>
      <c r="M37" s="5">
        <v>0</v>
      </c>
      <c r="N37" s="5">
        <v>0</v>
      </c>
      <c r="O37" s="18">
        <v>0</v>
      </c>
      <c r="P37" s="21">
        <f>AVERAGE(L45:O45)</f>
        <v>0</v>
      </c>
      <c r="Q37" s="22">
        <v>0</v>
      </c>
      <c r="R37" s="7">
        <v>0</v>
      </c>
      <c r="S37" s="7">
        <v>0</v>
      </c>
      <c r="T37" s="23">
        <v>0</v>
      </c>
      <c r="U37" s="24">
        <f>AVERAGE(Q45:T45)</f>
        <v>0.25</v>
      </c>
      <c r="V37" s="10"/>
    </row>
    <row r="38" spans="1:175" x14ac:dyDescent="0.2">
      <c r="A38" s="16">
        <v>3</v>
      </c>
      <c r="B38" s="17">
        <v>1</v>
      </c>
      <c r="C38" s="5">
        <v>0</v>
      </c>
      <c r="D38" s="5">
        <v>1</v>
      </c>
      <c r="E38" s="18">
        <v>1</v>
      </c>
      <c r="F38" s="15"/>
      <c r="G38" s="17">
        <v>0</v>
      </c>
      <c r="H38" s="5">
        <v>1</v>
      </c>
      <c r="I38" s="5">
        <v>0</v>
      </c>
      <c r="J38" s="18">
        <v>0</v>
      </c>
      <c r="K38" s="15"/>
      <c r="L38" s="17">
        <v>0</v>
      </c>
      <c r="M38" s="5">
        <v>0</v>
      </c>
      <c r="N38" s="5">
        <v>0</v>
      </c>
      <c r="O38" s="18">
        <v>0</v>
      </c>
      <c r="P38" s="15"/>
      <c r="Q38" s="22">
        <v>0</v>
      </c>
      <c r="R38" s="7">
        <v>1</v>
      </c>
      <c r="S38" s="7">
        <v>0</v>
      </c>
      <c r="T38" s="23">
        <v>0</v>
      </c>
      <c r="U38" s="18"/>
      <c r="V38" s="10"/>
    </row>
    <row r="39" spans="1:175" x14ac:dyDescent="0.2">
      <c r="A39" s="16">
        <v>4</v>
      </c>
      <c r="B39" s="17">
        <v>1</v>
      </c>
      <c r="C39" s="5">
        <v>0</v>
      </c>
      <c r="D39" s="5">
        <v>2</v>
      </c>
      <c r="E39" s="18">
        <v>0</v>
      </c>
      <c r="F39" s="19" t="s">
        <v>64</v>
      </c>
      <c r="G39" s="17">
        <v>0</v>
      </c>
      <c r="H39" s="5">
        <v>0</v>
      </c>
      <c r="I39" s="5">
        <v>0</v>
      </c>
      <c r="J39" s="18">
        <v>0</v>
      </c>
      <c r="K39" s="19" t="s">
        <v>64</v>
      </c>
      <c r="L39" s="17">
        <v>0</v>
      </c>
      <c r="M39" s="5">
        <v>0</v>
      </c>
      <c r="N39" s="5">
        <v>0</v>
      </c>
      <c r="O39" s="18">
        <v>0</v>
      </c>
      <c r="P39" s="19" t="s">
        <v>64</v>
      </c>
      <c r="Q39" s="22">
        <v>0</v>
      </c>
      <c r="R39" s="7">
        <v>0</v>
      </c>
      <c r="S39" s="7">
        <v>0</v>
      </c>
      <c r="T39" s="23">
        <v>0</v>
      </c>
      <c r="U39" s="20" t="s">
        <v>64</v>
      </c>
      <c r="V39" s="10"/>
    </row>
    <row r="40" spans="1:175" x14ac:dyDescent="0.2">
      <c r="A40" s="16">
        <v>5</v>
      </c>
      <c r="B40" s="17">
        <v>0</v>
      </c>
      <c r="C40" s="5">
        <v>0</v>
      </c>
      <c r="D40" s="5">
        <v>0</v>
      </c>
      <c r="E40" s="18">
        <v>0</v>
      </c>
      <c r="F40" s="15">
        <f>(F37*10)*1750</f>
        <v>87500</v>
      </c>
      <c r="G40" s="17">
        <v>0</v>
      </c>
      <c r="H40" s="5">
        <v>0</v>
      </c>
      <c r="I40" s="5">
        <v>1</v>
      </c>
      <c r="J40" s="18">
        <v>0</v>
      </c>
      <c r="K40" s="15">
        <f>(K37*10)*1750</f>
        <v>8750</v>
      </c>
      <c r="L40" s="17">
        <v>0</v>
      </c>
      <c r="M40" s="5">
        <v>0</v>
      </c>
      <c r="N40" s="5">
        <v>0</v>
      </c>
      <c r="O40" s="18">
        <v>0</v>
      </c>
      <c r="P40" s="15">
        <f>(P37*10)*1750</f>
        <v>0</v>
      </c>
      <c r="Q40" s="22">
        <v>0</v>
      </c>
      <c r="R40" s="7">
        <v>0</v>
      </c>
      <c r="S40" s="7">
        <v>0</v>
      </c>
      <c r="T40" s="23">
        <v>0</v>
      </c>
      <c r="U40" s="18">
        <f>(U37*10)*1000</f>
        <v>2500</v>
      </c>
      <c r="V40" s="10"/>
    </row>
    <row r="41" spans="1:175" x14ac:dyDescent="0.2">
      <c r="A41" s="16">
        <v>6</v>
      </c>
      <c r="B41" s="17">
        <v>1</v>
      </c>
      <c r="C41" s="5">
        <v>0</v>
      </c>
      <c r="D41" s="5">
        <v>2</v>
      </c>
      <c r="E41" s="18">
        <v>2</v>
      </c>
      <c r="F41" s="15"/>
      <c r="G41" s="17">
        <v>0</v>
      </c>
      <c r="H41" s="5">
        <v>0</v>
      </c>
      <c r="I41" s="5">
        <v>0</v>
      </c>
      <c r="J41" s="18">
        <v>0</v>
      </c>
      <c r="K41" s="15"/>
      <c r="L41" s="17">
        <v>0</v>
      </c>
      <c r="M41" s="5">
        <v>0</v>
      </c>
      <c r="N41" s="5">
        <v>0</v>
      </c>
      <c r="O41" s="18">
        <v>0</v>
      </c>
      <c r="P41" s="15"/>
      <c r="Q41" s="22">
        <v>0</v>
      </c>
      <c r="R41" s="7">
        <v>0</v>
      </c>
      <c r="S41" s="7">
        <v>0</v>
      </c>
      <c r="T41" s="23">
        <v>0</v>
      </c>
      <c r="U41" s="18"/>
      <c r="V41" s="10"/>
    </row>
    <row r="42" spans="1:175" x14ac:dyDescent="0.2">
      <c r="A42" s="16">
        <v>7</v>
      </c>
      <c r="B42" s="17">
        <v>2</v>
      </c>
      <c r="C42" s="5">
        <v>1</v>
      </c>
      <c r="D42" s="5">
        <v>0</v>
      </c>
      <c r="E42" s="18">
        <v>0</v>
      </c>
      <c r="F42" s="15"/>
      <c r="G42" s="17">
        <v>0</v>
      </c>
      <c r="H42" s="5">
        <v>0</v>
      </c>
      <c r="I42" s="5">
        <v>0</v>
      </c>
      <c r="J42" s="18">
        <v>0</v>
      </c>
      <c r="K42" s="15"/>
      <c r="L42" s="17">
        <v>0</v>
      </c>
      <c r="M42" s="5">
        <v>0</v>
      </c>
      <c r="N42" s="5">
        <v>0</v>
      </c>
      <c r="O42" s="18">
        <v>0</v>
      </c>
      <c r="P42" s="15"/>
      <c r="Q42" s="22">
        <v>0</v>
      </c>
      <c r="R42" s="7">
        <v>0</v>
      </c>
      <c r="S42" s="7">
        <v>0</v>
      </c>
      <c r="T42" s="23">
        <v>0</v>
      </c>
      <c r="U42" s="18"/>
      <c r="V42" s="10"/>
    </row>
    <row r="43" spans="1:175" x14ac:dyDescent="0.2">
      <c r="A43" s="16">
        <v>8</v>
      </c>
      <c r="B43" s="17">
        <v>0</v>
      </c>
      <c r="C43" s="5">
        <v>0</v>
      </c>
      <c r="D43" s="5">
        <v>0</v>
      </c>
      <c r="E43" s="18">
        <v>0</v>
      </c>
      <c r="F43" s="15"/>
      <c r="G43" s="17">
        <v>0</v>
      </c>
      <c r="H43" s="5">
        <v>0</v>
      </c>
      <c r="I43" s="5">
        <v>0</v>
      </c>
      <c r="J43" s="18">
        <v>0</v>
      </c>
      <c r="K43" s="15"/>
      <c r="L43" s="17">
        <v>0</v>
      </c>
      <c r="M43" s="5">
        <v>0</v>
      </c>
      <c r="N43" s="5">
        <v>0</v>
      </c>
      <c r="O43" s="18">
        <v>0</v>
      </c>
      <c r="P43" s="15"/>
      <c r="Q43" s="22">
        <v>0</v>
      </c>
      <c r="R43" s="7">
        <v>0</v>
      </c>
      <c r="S43" s="7">
        <v>0</v>
      </c>
      <c r="T43" s="23">
        <v>0</v>
      </c>
      <c r="U43" s="18"/>
      <c r="V43" s="10"/>
    </row>
    <row r="44" spans="1:175" x14ac:dyDescent="0.2">
      <c r="A44" s="27"/>
      <c r="B44" s="28" t="s">
        <v>64</v>
      </c>
      <c r="C44" s="29" t="s">
        <v>64</v>
      </c>
      <c r="D44" s="29" t="s">
        <v>64</v>
      </c>
      <c r="E44" s="29" t="s">
        <v>64</v>
      </c>
      <c r="F44" s="19"/>
      <c r="G44" s="28" t="s">
        <v>64</v>
      </c>
      <c r="H44" s="29" t="s">
        <v>64</v>
      </c>
      <c r="I44" s="29" t="s">
        <v>64</v>
      </c>
      <c r="J44" s="29" t="s">
        <v>64</v>
      </c>
      <c r="K44" s="19"/>
      <c r="L44" s="28" t="s">
        <v>64</v>
      </c>
      <c r="M44" s="29" t="s">
        <v>64</v>
      </c>
      <c r="N44" s="29" t="s">
        <v>64</v>
      </c>
      <c r="O44" s="29" t="s">
        <v>64</v>
      </c>
      <c r="P44" s="19"/>
      <c r="Q44" s="28" t="s">
        <v>64</v>
      </c>
      <c r="R44" s="29" t="s">
        <v>64</v>
      </c>
      <c r="S44" s="29" t="s">
        <v>64</v>
      </c>
      <c r="T44" s="29" t="s">
        <v>64</v>
      </c>
      <c r="U44" s="20"/>
      <c r="V44" s="10"/>
    </row>
    <row r="45" spans="1:175" s="11" customFormat="1" x14ac:dyDescent="0.2">
      <c r="A45" s="30"/>
      <c r="B45" s="31">
        <f>SUM(B36:B43)</f>
        <v>6</v>
      </c>
      <c r="C45" s="32">
        <f t="shared" ref="C45:E45" si="12">SUM(C36:C43)</f>
        <v>2</v>
      </c>
      <c r="D45" s="32">
        <f t="shared" si="12"/>
        <v>7</v>
      </c>
      <c r="E45" s="32">
        <f t="shared" si="12"/>
        <v>5</v>
      </c>
      <c r="F45" s="33"/>
      <c r="G45" s="31">
        <f>SUM(G36:G43)</f>
        <v>0</v>
      </c>
      <c r="H45" s="32">
        <f t="shared" ref="H45:J45" si="13">SUM(H36:H43)</f>
        <v>1</v>
      </c>
      <c r="I45" s="32">
        <f t="shared" si="13"/>
        <v>1</v>
      </c>
      <c r="J45" s="32">
        <f t="shared" si="13"/>
        <v>0</v>
      </c>
      <c r="K45" s="33"/>
      <c r="L45" s="31">
        <f>SUM(L36:L43)</f>
        <v>0</v>
      </c>
      <c r="M45" s="32">
        <f t="shared" ref="M45:O45" si="14">SUM(M36:M43)</f>
        <v>0</v>
      </c>
      <c r="N45" s="32">
        <f t="shared" si="14"/>
        <v>0</v>
      </c>
      <c r="O45" s="32">
        <f t="shared" si="14"/>
        <v>0</v>
      </c>
      <c r="P45" s="35"/>
      <c r="Q45" s="31">
        <f>SUM(Q36:Q43)</f>
        <v>0</v>
      </c>
      <c r="R45" s="32">
        <f t="shared" ref="R45:T45" si="15">SUM(R36:R43)</f>
        <v>1</v>
      </c>
      <c r="S45" s="32">
        <f t="shared" si="15"/>
        <v>0</v>
      </c>
      <c r="T45" s="32">
        <f t="shared" si="15"/>
        <v>0</v>
      </c>
      <c r="U45" s="34"/>
      <c r="V45" s="10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</row>
    <row r="46" spans="1:175" x14ac:dyDescent="0.2">
      <c r="A46" s="12">
        <v>7</v>
      </c>
      <c r="B46" s="13" t="s">
        <v>59</v>
      </c>
      <c r="C46" s="12" t="s">
        <v>60</v>
      </c>
      <c r="D46" s="12" t="s">
        <v>61</v>
      </c>
      <c r="E46" s="14" t="s">
        <v>62</v>
      </c>
      <c r="F46" s="15"/>
      <c r="G46" s="13" t="s">
        <v>59</v>
      </c>
      <c r="H46" s="12" t="s">
        <v>60</v>
      </c>
      <c r="I46" s="12" t="s">
        <v>61</v>
      </c>
      <c r="J46" s="14" t="s">
        <v>62</v>
      </c>
      <c r="K46" s="15"/>
      <c r="L46" s="13" t="s">
        <v>59</v>
      </c>
      <c r="M46" s="12" t="s">
        <v>60</v>
      </c>
      <c r="N46" s="12" t="s">
        <v>61</v>
      </c>
      <c r="O46" s="14" t="s">
        <v>62</v>
      </c>
      <c r="P46" s="15"/>
      <c r="Q46" s="13" t="s">
        <v>59</v>
      </c>
      <c r="R46" s="12" t="s">
        <v>60</v>
      </c>
      <c r="S46" s="12" t="s">
        <v>61</v>
      </c>
      <c r="T46" s="14" t="s">
        <v>62</v>
      </c>
      <c r="U46" s="18"/>
      <c r="V46" s="10"/>
    </row>
    <row r="47" spans="1:175" x14ac:dyDescent="0.2">
      <c r="A47" s="16">
        <v>1</v>
      </c>
      <c r="B47" s="69" t="s">
        <v>67</v>
      </c>
      <c r="C47" s="70"/>
      <c r="D47" s="70"/>
      <c r="E47" s="70"/>
      <c r="F47" s="19" t="s">
        <v>63</v>
      </c>
      <c r="G47" s="17">
        <v>1</v>
      </c>
      <c r="H47" s="5">
        <v>0</v>
      </c>
      <c r="I47" s="5">
        <v>0</v>
      </c>
      <c r="J47" s="18">
        <v>3</v>
      </c>
      <c r="K47" s="19" t="s">
        <v>63</v>
      </c>
      <c r="L47" s="17">
        <v>0</v>
      </c>
      <c r="M47" s="5">
        <v>2</v>
      </c>
      <c r="N47" s="5">
        <v>0</v>
      </c>
      <c r="O47" s="18">
        <v>1</v>
      </c>
      <c r="P47" s="19" t="s">
        <v>63</v>
      </c>
      <c r="Q47" s="22">
        <v>0</v>
      </c>
      <c r="R47" s="7">
        <v>1</v>
      </c>
      <c r="S47" s="7">
        <v>0</v>
      </c>
      <c r="T47" s="23">
        <v>0</v>
      </c>
      <c r="U47" s="20" t="s">
        <v>63</v>
      </c>
      <c r="V47" s="10"/>
    </row>
    <row r="48" spans="1:175" x14ac:dyDescent="0.2">
      <c r="A48" s="16">
        <v>2</v>
      </c>
      <c r="B48" s="69"/>
      <c r="C48" s="70"/>
      <c r="D48" s="70"/>
      <c r="E48" s="70"/>
      <c r="F48" s="21">
        <f>AVERAGE(B56:E56)</f>
        <v>0</v>
      </c>
      <c r="G48" s="17">
        <v>0</v>
      </c>
      <c r="H48" s="5">
        <v>0</v>
      </c>
      <c r="I48" s="5">
        <v>2</v>
      </c>
      <c r="J48" s="18">
        <v>0</v>
      </c>
      <c r="K48" s="21">
        <f>AVERAGE(G56:J56)</f>
        <v>7.5</v>
      </c>
      <c r="L48" s="17">
        <v>0</v>
      </c>
      <c r="M48" s="5">
        <v>0</v>
      </c>
      <c r="N48" s="5">
        <v>1</v>
      </c>
      <c r="O48" s="18">
        <v>0</v>
      </c>
      <c r="P48" s="21">
        <f>AVERAGE(L56:O56)</f>
        <v>4.5</v>
      </c>
      <c r="Q48" s="22">
        <v>0</v>
      </c>
      <c r="R48" s="7">
        <v>1</v>
      </c>
      <c r="S48" s="7">
        <v>0</v>
      </c>
      <c r="T48" s="23">
        <v>1</v>
      </c>
      <c r="U48" s="24">
        <f>AVERAGE(Q56:T56)</f>
        <v>3.75</v>
      </c>
      <c r="V48" s="10"/>
    </row>
    <row r="49" spans="1:175" x14ac:dyDescent="0.2">
      <c r="A49" s="16">
        <v>3</v>
      </c>
      <c r="B49" s="69"/>
      <c r="C49" s="70"/>
      <c r="D49" s="70"/>
      <c r="E49" s="70"/>
      <c r="F49" s="15"/>
      <c r="G49" s="17">
        <v>0</v>
      </c>
      <c r="H49" s="5">
        <v>1</v>
      </c>
      <c r="I49" s="5">
        <v>0</v>
      </c>
      <c r="J49" s="18">
        <v>1</v>
      </c>
      <c r="K49" s="15"/>
      <c r="L49" s="17">
        <v>2</v>
      </c>
      <c r="M49" s="5">
        <v>1</v>
      </c>
      <c r="N49" s="5">
        <v>1</v>
      </c>
      <c r="O49" s="18">
        <v>0</v>
      </c>
      <c r="P49" s="15"/>
      <c r="Q49" s="22">
        <v>1</v>
      </c>
      <c r="R49" s="7">
        <v>0</v>
      </c>
      <c r="S49" s="7">
        <v>0</v>
      </c>
      <c r="T49" s="23">
        <v>0</v>
      </c>
      <c r="U49" s="18"/>
      <c r="V49" s="10"/>
    </row>
    <row r="50" spans="1:175" x14ac:dyDescent="0.2">
      <c r="A50" s="16">
        <v>4</v>
      </c>
      <c r="B50" s="69"/>
      <c r="C50" s="70"/>
      <c r="D50" s="70"/>
      <c r="E50" s="70"/>
      <c r="F50" s="19" t="s">
        <v>64</v>
      </c>
      <c r="G50" s="17">
        <v>5</v>
      </c>
      <c r="H50" s="5">
        <v>3</v>
      </c>
      <c r="I50" s="5">
        <v>3</v>
      </c>
      <c r="J50" s="18">
        <v>1</v>
      </c>
      <c r="K50" s="19" t="s">
        <v>64</v>
      </c>
      <c r="L50" s="17">
        <v>0</v>
      </c>
      <c r="M50" s="5">
        <v>0</v>
      </c>
      <c r="N50" s="5">
        <v>0</v>
      </c>
      <c r="O50" s="18">
        <v>2</v>
      </c>
      <c r="P50" s="19" t="s">
        <v>64</v>
      </c>
      <c r="Q50" s="22">
        <v>0</v>
      </c>
      <c r="R50" s="7">
        <v>0</v>
      </c>
      <c r="S50" s="7">
        <v>0</v>
      </c>
      <c r="T50" s="23">
        <v>2</v>
      </c>
      <c r="U50" s="20" t="s">
        <v>64</v>
      </c>
      <c r="V50" s="10"/>
    </row>
    <row r="51" spans="1:175" x14ac:dyDescent="0.2">
      <c r="A51" s="16">
        <v>5</v>
      </c>
      <c r="B51" s="69"/>
      <c r="C51" s="70"/>
      <c r="D51" s="70"/>
      <c r="E51" s="70"/>
      <c r="F51" s="15">
        <f>(F48*10)*1750</f>
        <v>0</v>
      </c>
      <c r="G51" s="17">
        <v>2</v>
      </c>
      <c r="H51" s="5">
        <v>2</v>
      </c>
      <c r="I51" s="5">
        <v>0</v>
      </c>
      <c r="J51" s="18">
        <v>0</v>
      </c>
      <c r="K51" s="15">
        <f>(K48*10)*1750</f>
        <v>131250</v>
      </c>
      <c r="L51" s="17">
        <v>0</v>
      </c>
      <c r="M51" s="5">
        <v>1</v>
      </c>
      <c r="N51" s="5">
        <v>1</v>
      </c>
      <c r="O51" s="18">
        <v>0</v>
      </c>
      <c r="P51" s="15">
        <f>(P48*10)*1750</f>
        <v>78750</v>
      </c>
      <c r="Q51" s="22">
        <v>0</v>
      </c>
      <c r="R51" s="7">
        <v>2</v>
      </c>
      <c r="S51" s="7">
        <v>2</v>
      </c>
      <c r="T51" s="23">
        <v>3</v>
      </c>
      <c r="U51" s="18">
        <f>(U48*10)*1000</f>
        <v>37500</v>
      </c>
      <c r="V51" s="10"/>
    </row>
    <row r="52" spans="1:175" x14ac:dyDescent="0.2">
      <c r="A52" s="16">
        <v>6</v>
      </c>
      <c r="B52" s="69"/>
      <c r="C52" s="70"/>
      <c r="D52" s="70"/>
      <c r="E52" s="70"/>
      <c r="F52" s="15"/>
      <c r="G52" s="17">
        <v>0</v>
      </c>
      <c r="H52" s="5">
        <v>0</v>
      </c>
      <c r="I52" s="5">
        <v>1</v>
      </c>
      <c r="J52" s="18">
        <v>1</v>
      </c>
      <c r="K52" s="15"/>
      <c r="L52" s="17">
        <v>0</v>
      </c>
      <c r="M52" s="5">
        <v>1</v>
      </c>
      <c r="N52" s="5">
        <v>2</v>
      </c>
      <c r="O52" s="18">
        <v>0</v>
      </c>
      <c r="P52" s="15"/>
      <c r="Q52" s="22">
        <v>0</v>
      </c>
      <c r="R52" s="7">
        <v>0</v>
      </c>
      <c r="S52" s="7">
        <v>0</v>
      </c>
      <c r="T52" s="23">
        <v>0</v>
      </c>
      <c r="U52" s="18"/>
      <c r="V52" s="10"/>
    </row>
    <row r="53" spans="1:175" x14ac:dyDescent="0.2">
      <c r="A53" s="16">
        <v>7</v>
      </c>
      <c r="B53" s="69"/>
      <c r="C53" s="70"/>
      <c r="D53" s="70"/>
      <c r="E53" s="70"/>
      <c r="F53" s="15"/>
      <c r="G53" s="17">
        <v>1</v>
      </c>
      <c r="H53" s="5">
        <v>0</v>
      </c>
      <c r="I53" s="5">
        <v>0</v>
      </c>
      <c r="J53" s="18">
        <v>2</v>
      </c>
      <c r="K53" s="15"/>
      <c r="L53" s="17">
        <v>1</v>
      </c>
      <c r="M53" s="5">
        <v>1</v>
      </c>
      <c r="N53" s="5">
        <v>0</v>
      </c>
      <c r="O53" s="18">
        <v>0</v>
      </c>
      <c r="P53" s="15"/>
      <c r="Q53" s="22">
        <v>0</v>
      </c>
      <c r="R53" s="7">
        <v>0</v>
      </c>
      <c r="S53" s="7">
        <v>0</v>
      </c>
      <c r="T53" s="23">
        <v>0</v>
      </c>
      <c r="U53" s="18"/>
      <c r="V53" s="10"/>
    </row>
    <row r="54" spans="1:175" x14ac:dyDescent="0.2">
      <c r="A54" s="16">
        <v>8</v>
      </c>
      <c r="B54" s="69"/>
      <c r="C54" s="70"/>
      <c r="D54" s="70"/>
      <c r="E54" s="70"/>
      <c r="F54" s="15"/>
      <c r="G54" s="17">
        <v>0</v>
      </c>
      <c r="H54" s="5">
        <v>0</v>
      </c>
      <c r="I54" s="5">
        <v>1</v>
      </c>
      <c r="J54" s="18">
        <v>0</v>
      </c>
      <c r="K54" s="15"/>
      <c r="L54" s="17">
        <v>0</v>
      </c>
      <c r="M54" s="5">
        <v>1</v>
      </c>
      <c r="N54" s="5">
        <v>0</v>
      </c>
      <c r="O54" s="18">
        <v>0</v>
      </c>
      <c r="P54" s="15"/>
      <c r="Q54" s="22">
        <v>1</v>
      </c>
      <c r="R54" s="7">
        <v>0</v>
      </c>
      <c r="S54" s="7">
        <v>1</v>
      </c>
      <c r="T54" s="23">
        <v>0</v>
      </c>
      <c r="U54" s="18"/>
      <c r="V54" s="10"/>
    </row>
    <row r="55" spans="1:175" x14ac:dyDescent="0.2">
      <c r="A55" s="27"/>
      <c r="B55" s="28" t="s">
        <v>64</v>
      </c>
      <c r="C55" s="29" t="s">
        <v>64</v>
      </c>
      <c r="D55" s="29" t="s">
        <v>64</v>
      </c>
      <c r="E55" s="29" t="s">
        <v>64</v>
      </c>
      <c r="F55" s="19"/>
      <c r="G55" s="28" t="s">
        <v>64</v>
      </c>
      <c r="H55" s="29" t="s">
        <v>64</v>
      </c>
      <c r="I55" s="29" t="s">
        <v>64</v>
      </c>
      <c r="J55" s="29" t="s">
        <v>64</v>
      </c>
      <c r="K55" s="19"/>
      <c r="L55" s="28" t="s">
        <v>64</v>
      </c>
      <c r="M55" s="29" t="s">
        <v>64</v>
      </c>
      <c r="N55" s="29" t="s">
        <v>64</v>
      </c>
      <c r="O55" s="29" t="s">
        <v>64</v>
      </c>
      <c r="P55" s="19"/>
      <c r="Q55" s="28" t="s">
        <v>64</v>
      </c>
      <c r="R55" s="29" t="s">
        <v>64</v>
      </c>
      <c r="S55" s="29" t="s">
        <v>64</v>
      </c>
      <c r="T55" s="29" t="s">
        <v>64</v>
      </c>
      <c r="U55" s="20"/>
      <c r="V55" s="10"/>
    </row>
    <row r="56" spans="1:175" s="11" customFormat="1" x14ac:dyDescent="0.2">
      <c r="A56" s="30"/>
      <c r="B56" s="31">
        <f>SUM(B47:B54)</f>
        <v>0</v>
      </c>
      <c r="C56" s="32">
        <f t="shared" ref="C56:E56" si="16">SUM(C47:C54)</f>
        <v>0</v>
      </c>
      <c r="D56" s="32">
        <f t="shared" si="16"/>
        <v>0</v>
      </c>
      <c r="E56" s="32">
        <f t="shared" si="16"/>
        <v>0</v>
      </c>
      <c r="F56" s="33"/>
      <c r="G56" s="31">
        <f>SUM(G47:G54)</f>
        <v>9</v>
      </c>
      <c r="H56" s="32">
        <f t="shared" ref="H56:J56" si="17">SUM(H47:H54)</f>
        <v>6</v>
      </c>
      <c r="I56" s="32">
        <f t="shared" si="17"/>
        <v>7</v>
      </c>
      <c r="J56" s="32">
        <f t="shared" si="17"/>
        <v>8</v>
      </c>
      <c r="K56" s="33"/>
      <c r="L56" s="31">
        <f>SUM(L47:L54)</f>
        <v>3</v>
      </c>
      <c r="M56" s="32">
        <f t="shared" ref="M56:O56" si="18">SUM(M47:M54)</f>
        <v>7</v>
      </c>
      <c r="N56" s="32">
        <f t="shared" si="18"/>
        <v>5</v>
      </c>
      <c r="O56" s="32">
        <f t="shared" si="18"/>
        <v>3</v>
      </c>
      <c r="P56" s="35"/>
      <c r="Q56" s="31">
        <f>SUM(Q47:Q54)</f>
        <v>2</v>
      </c>
      <c r="R56" s="32">
        <f t="shared" ref="R56:T56" si="19">SUM(R47:R54)</f>
        <v>4</v>
      </c>
      <c r="S56" s="32">
        <f t="shared" si="19"/>
        <v>3</v>
      </c>
      <c r="T56" s="32">
        <f t="shared" si="19"/>
        <v>6</v>
      </c>
      <c r="U56" s="34"/>
      <c r="V56" s="10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</row>
    <row r="57" spans="1:175" x14ac:dyDescent="0.2">
      <c r="A57" s="12">
        <v>8</v>
      </c>
      <c r="B57" s="13" t="s">
        <v>59</v>
      </c>
      <c r="C57" s="12" t="s">
        <v>60</v>
      </c>
      <c r="D57" s="12" t="s">
        <v>61</v>
      </c>
      <c r="E57" s="14" t="s">
        <v>62</v>
      </c>
      <c r="F57" s="15"/>
      <c r="G57" s="13" t="s">
        <v>59</v>
      </c>
      <c r="H57" s="12" t="s">
        <v>60</v>
      </c>
      <c r="I57" s="12" t="s">
        <v>61</v>
      </c>
      <c r="J57" s="14" t="s">
        <v>62</v>
      </c>
      <c r="K57" s="15"/>
      <c r="L57" s="13" t="s">
        <v>59</v>
      </c>
      <c r="M57" s="12" t="s">
        <v>60</v>
      </c>
      <c r="N57" s="12" t="s">
        <v>61</v>
      </c>
      <c r="O57" s="14" t="s">
        <v>62</v>
      </c>
      <c r="P57" s="15"/>
      <c r="Q57" s="13" t="s">
        <v>59</v>
      </c>
      <c r="R57" s="12" t="s">
        <v>60</v>
      </c>
      <c r="S57" s="12" t="s">
        <v>61</v>
      </c>
      <c r="T57" s="14" t="s">
        <v>62</v>
      </c>
      <c r="U57" s="18"/>
      <c r="V57" s="10"/>
    </row>
    <row r="58" spans="1:175" x14ac:dyDescent="0.2">
      <c r="A58" s="16">
        <v>1</v>
      </c>
      <c r="B58" s="17">
        <v>0</v>
      </c>
      <c r="C58" s="5">
        <v>1</v>
      </c>
      <c r="D58" s="5">
        <v>1</v>
      </c>
      <c r="E58" s="18">
        <v>1</v>
      </c>
      <c r="F58" s="19" t="s">
        <v>63</v>
      </c>
      <c r="G58" s="17">
        <v>1</v>
      </c>
      <c r="H58" s="5">
        <v>0</v>
      </c>
      <c r="I58" s="5">
        <v>0</v>
      </c>
      <c r="J58" s="18">
        <v>0</v>
      </c>
      <c r="K58" s="19" t="s">
        <v>63</v>
      </c>
      <c r="L58" s="17">
        <v>0</v>
      </c>
      <c r="M58" s="5">
        <v>1</v>
      </c>
      <c r="N58" s="5">
        <v>0</v>
      </c>
      <c r="O58" s="18">
        <v>0</v>
      </c>
      <c r="P58" s="19" t="s">
        <v>63</v>
      </c>
      <c r="Q58" s="22">
        <v>0</v>
      </c>
      <c r="R58" s="7">
        <v>0</v>
      </c>
      <c r="S58" s="7">
        <v>0</v>
      </c>
      <c r="T58" s="23">
        <v>0</v>
      </c>
      <c r="U58" s="20" t="s">
        <v>63</v>
      </c>
      <c r="V58" s="10"/>
    </row>
    <row r="59" spans="1:175" x14ac:dyDescent="0.2">
      <c r="A59" s="16">
        <v>2</v>
      </c>
      <c r="B59" s="17">
        <v>1</v>
      </c>
      <c r="C59" s="5">
        <v>1</v>
      </c>
      <c r="D59" s="5">
        <v>1</v>
      </c>
      <c r="E59" s="18">
        <v>0</v>
      </c>
      <c r="F59" s="21">
        <f>AVERAGE(B67:E67)</f>
        <v>12.25</v>
      </c>
      <c r="G59" s="17">
        <v>0</v>
      </c>
      <c r="H59" s="5">
        <v>0</v>
      </c>
      <c r="I59" s="5">
        <v>0</v>
      </c>
      <c r="J59" s="18">
        <v>0</v>
      </c>
      <c r="K59" s="21">
        <f>AVERAGE(G67:J67)</f>
        <v>4.25</v>
      </c>
      <c r="L59" s="17">
        <v>0</v>
      </c>
      <c r="M59" s="5">
        <v>0</v>
      </c>
      <c r="N59" s="5">
        <v>0</v>
      </c>
      <c r="O59" s="18">
        <v>2</v>
      </c>
      <c r="P59" s="21">
        <f>AVERAGE(L67:O67)</f>
        <v>4.25</v>
      </c>
      <c r="Q59" s="22">
        <v>0</v>
      </c>
      <c r="R59" s="7">
        <v>1</v>
      </c>
      <c r="S59" s="7">
        <v>1</v>
      </c>
      <c r="T59" s="23">
        <v>0</v>
      </c>
      <c r="U59" s="24">
        <f>AVERAGE(Q67:T67)</f>
        <v>2</v>
      </c>
      <c r="V59" s="10"/>
    </row>
    <row r="60" spans="1:175" x14ac:dyDescent="0.2">
      <c r="A60" s="16">
        <v>3</v>
      </c>
      <c r="B60" s="17">
        <v>1</v>
      </c>
      <c r="C60" s="5">
        <v>1</v>
      </c>
      <c r="D60" s="5">
        <v>4</v>
      </c>
      <c r="E60" s="18">
        <v>0</v>
      </c>
      <c r="F60" s="15"/>
      <c r="G60" s="17">
        <v>0</v>
      </c>
      <c r="H60" s="5">
        <v>1</v>
      </c>
      <c r="I60" s="5">
        <v>2</v>
      </c>
      <c r="J60" s="18">
        <v>1</v>
      </c>
      <c r="K60" s="15"/>
      <c r="L60" s="17">
        <v>3</v>
      </c>
      <c r="M60" s="5">
        <v>2</v>
      </c>
      <c r="N60" s="5">
        <v>1</v>
      </c>
      <c r="O60" s="18">
        <v>0</v>
      </c>
      <c r="P60" s="15"/>
      <c r="Q60" s="22">
        <v>0</v>
      </c>
      <c r="R60" s="7">
        <v>0</v>
      </c>
      <c r="S60" s="7">
        <v>0</v>
      </c>
      <c r="T60" s="23">
        <v>0</v>
      </c>
      <c r="U60" s="18"/>
      <c r="V60" s="10"/>
    </row>
    <row r="61" spans="1:175" x14ac:dyDescent="0.2">
      <c r="A61" s="16">
        <v>4</v>
      </c>
      <c r="B61" s="17">
        <v>1</v>
      </c>
      <c r="C61" s="5">
        <v>3</v>
      </c>
      <c r="D61" s="5">
        <v>2</v>
      </c>
      <c r="E61" s="18">
        <v>6</v>
      </c>
      <c r="F61" s="19" t="s">
        <v>64</v>
      </c>
      <c r="G61" s="17">
        <v>3</v>
      </c>
      <c r="H61" s="5">
        <v>3</v>
      </c>
      <c r="I61" s="5">
        <v>2</v>
      </c>
      <c r="J61" s="18">
        <v>0</v>
      </c>
      <c r="K61" s="19" t="s">
        <v>64</v>
      </c>
      <c r="L61" s="17">
        <v>0</v>
      </c>
      <c r="M61" s="5">
        <v>0</v>
      </c>
      <c r="N61" s="5">
        <v>0</v>
      </c>
      <c r="O61" s="18">
        <v>0</v>
      </c>
      <c r="P61" s="19" t="s">
        <v>64</v>
      </c>
      <c r="Q61" s="22">
        <v>0</v>
      </c>
      <c r="R61" s="7">
        <v>0</v>
      </c>
      <c r="S61" s="7">
        <v>0</v>
      </c>
      <c r="T61" s="23">
        <v>1</v>
      </c>
      <c r="U61" s="20" t="s">
        <v>64</v>
      </c>
      <c r="V61" s="10"/>
    </row>
    <row r="62" spans="1:175" x14ac:dyDescent="0.2">
      <c r="A62" s="16">
        <v>5</v>
      </c>
      <c r="B62" s="17">
        <v>1</v>
      </c>
      <c r="C62" s="5">
        <v>0</v>
      </c>
      <c r="D62" s="5">
        <v>0</v>
      </c>
      <c r="E62" s="18">
        <v>2</v>
      </c>
      <c r="F62" s="15">
        <f>(F59*10)*1750</f>
        <v>214375</v>
      </c>
      <c r="G62" s="17">
        <v>0</v>
      </c>
      <c r="H62" s="5">
        <v>0</v>
      </c>
      <c r="I62" s="5">
        <v>0</v>
      </c>
      <c r="J62" s="18">
        <v>0</v>
      </c>
      <c r="K62" s="15">
        <f>(K59*10)*1750</f>
        <v>74375</v>
      </c>
      <c r="L62" s="17">
        <v>1</v>
      </c>
      <c r="M62" s="5">
        <v>0</v>
      </c>
      <c r="N62" s="5">
        <v>1</v>
      </c>
      <c r="O62" s="18">
        <v>0</v>
      </c>
      <c r="P62" s="15">
        <f>(P59*10)*1750</f>
        <v>74375</v>
      </c>
      <c r="Q62" s="22">
        <v>0</v>
      </c>
      <c r="R62" s="7">
        <v>1</v>
      </c>
      <c r="S62" s="7">
        <v>2</v>
      </c>
      <c r="T62" s="23">
        <v>0</v>
      </c>
      <c r="U62" s="18">
        <f>(U59*10)*1000</f>
        <v>20000</v>
      </c>
      <c r="V62" s="10"/>
    </row>
    <row r="63" spans="1:175" x14ac:dyDescent="0.2">
      <c r="A63" s="16">
        <v>6</v>
      </c>
      <c r="B63" s="17">
        <v>4</v>
      </c>
      <c r="C63" s="5">
        <v>0</v>
      </c>
      <c r="D63" s="5">
        <v>2</v>
      </c>
      <c r="E63" s="18">
        <v>4</v>
      </c>
      <c r="F63" s="15"/>
      <c r="G63" s="17">
        <v>0</v>
      </c>
      <c r="H63" s="5">
        <v>0</v>
      </c>
      <c r="I63" s="5">
        <v>0</v>
      </c>
      <c r="J63" s="18">
        <v>2</v>
      </c>
      <c r="K63" s="15"/>
      <c r="L63" s="17">
        <v>0</v>
      </c>
      <c r="M63" s="5">
        <v>1</v>
      </c>
      <c r="N63" s="5">
        <v>1</v>
      </c>
      <c r="O63" s="18">
        <v>1</v>
      </c>
      <c r="P63" s="15"/>
      <c r="Q63" s="22">
        <v>0</v>
      </c>
      <c r="R63" s="7">
        <v>0</v>
      </c>
      <c r="S63" s="7">
        <v>0</v>
      </c>
      <c r="T63" s="23">
        <v>0</v>
      </c>
      <c r="U63" s="18"/>
      <c r="V63" s="10"/>
    </row>
    <row r="64" spans="1:175" x14ac:dyDescent="0.2">
      <c r="A64" s="16">
        <v>7</v>
      </c>
      <c r="B64" s="17">
        <v>3</v>
      </c>
      <c r="C64" s="5">
        <v>0</v>
      </c>
      <c r="D64" s="5">
        <v>0</v>
      </c>
      <c r="E64" s="18">
        <v>2</v>
      </c>
      <c r="F64" s="15"/>
      <c r="G64" s="17">
        <v>0</v>
      </c>
      <c r="H64" s="5">
        <v>0</v>
      </c>
      <c r="I64" s="5">
        <v>1</v>
      </c>
      <c r="J64" s="18">
        <v>0</v>
      </c>
      <c r="K64" s="15"/>
      <c r="L64" s="17">
        <v>0</v>
      </c>
      <c r="M64" s="5">
        <v>0</v>
      </c>
      <c r="N64" s="5">
        <v>0</v>
      </c>
      <c r="O64" s="18">
        <v>1</v>
      </c>
      <c r="P64" s="15"/>
      <c r="Q64" s="22">
        <v>1</v>
      </c>
      <c r="R64" s="7">
        <v>0</v>
      </c>
      <c r="S64" s="7">
        <v>0</v>
      </c>
      <c r="T64" s="23">
        <v>0</v>
      </c>
      <c r="U64" s="18"/>
      <c r="V64" s="10"/>
    </row>
    <row r="65" spans="1:175" x14ac:dyDescent="0.2">
      <c r="A65" s="16">
        <v>8</v>
      </c>
      <c r="B65" s="17">
        <v>1</v>
      </c>
      <c r="C65" s="5">
        <v>3</v>
      </c>
      <c r="D65" s="5">
        <v>2</v>
      </c>
      <c r="E65" s="18">
        <v>1</v>
      </c>
      <c r="F65" s="15"/>
      <c r="G65" s="17">
        <v>1</v>
      </c>
      <c r="H65" s="5">
        <v>0</v>
      </c>
      <c r="I65" s="5">
        <v>0</v>
      </c>
      <c r="J65" s="18">
        <v>0</v>
      </c>
      <c r="K65" s="15"/>
      <c r="L65" s="17">
        <v>0</v>
      </c>
      <c r="M65" s="5">
        <v>2</v>
      </c>
      <c r="N65" s="5">
        <v>0</v>
      </c>
      <c r="O65" s="18">
        <v>0</v>
      </c>
      <c r="P65" s="15"/>
      <c r="Q65" s="22">
        <v>0</v>
      </c>
      <c r="R65" s="7">
        <v>0</v>
      </c>
      <c r="S65" s="7">
        <v>1</v>
      </c>
      <c r="T65" s="23">
        <v>0</v>
      </c>
      <c r="U65" s="18"/>
      <c r="V65" s="10"/>
    </row>
    <row r="66" spans="1:175" x14ac:dyDescent="0.2">
      <c r="A66" s="27"/>
      <c r="B66" s="28" t="s">
        <v>64</v>
      </c>
      <c r="C66" s="29" t="s">
        <v>64</v>
      </c>
      <c r="D66" s="29" t="s">
        <v>64</v>
      </c>
      <c r="E66" s="29" t="s">
        <v>64</v>
      </c>
      <c r="F66" s="19"/>
      <c r="G66" s="28" t="s">
        <v>64</v>
      </c>
      <c r="H66" s="29" t="s">
        <v>64</v>
      </c>
      <c r="I66" s="29" t="s">
        <v>64</v>
      </c>
      <c r="J66" s="29" t="s">
        <v>64</v>
      </c>
      <c r="K66" s="19"/>
      <c r="L66" s="28" t="s">
        <v>64</v>
      </c>
      <c r="M66" s="29" t="s">
        <v>64</v>
      </c>
      <c r="N66" s="29" t="s">
        <v>64</v>
      </c>
      <c r="O66" s="29" t="s">
        <v>64</v>
      </c>
      <c r="P66" s="19"/>
      <c r="Q66" s="28" t="s">
        <v>64</v>
      </c>
      <c r="R66" s="29" t="s">
        <v>64</v>
      </c>
      <c r="S66" s="29" t="s">
        <v>64</v>
      </c>
      <c r="T66" s="29" t="s">
        <v>64</v>
      </c>
      <c r="U66" s="20"/>
      <c r="V66" s="10"/>
    </row>
    <row r="67" spans="1:175" s="11" customFormat="1" x14ac:dyDescent="0.2">
      <c r="A67" s="30"/>
      <c r="B67" s="31">
        <f>SUM(B58:B65)</f>
        <v>12</v>
      </c>
      <c r="C67" s="32">
        <f t="shared" ref="C67:E67" si="20">SUM(C58:C65)</f>
        <v>9</v>
      </c>
      <c r="D67" s="32">
        <f t="shared" si="20"/>
        <v>12</v>
      </c>
      <c r="E67" s="32">
        <f t="shared" si="20"/>
        <v>16</v>
      </c>
      <c r="F67" s="33"/>
      <c r="G67" s="31">
        <f>SUM(G58:G65)</f>
        <v>5</v>
      </c>
      <c r="H67" s="32">
        <f t="shared" ref="H67:J67" si="21">SUM(H58:H65)</f>
        <v>4</v>
      </c>
      <c r="I67" s="32">
        <f t="shared" si="21"/>
        <v>5</v>
      </c>
      <c r="J67" s="32">
        <f t="shared" si="21"/>
        <v>3</v>
      </c>
      <c r="K67" s="33"/>
      <c r="L67" s="31">
        <f>SUM(L58:L65)</f>
        <v>4</v>
      </c>
      <c r="M67" s="32">
        <f t="shared" ref="M67:O67" si="22">SUM(M58:M65)</f>
        <v>6</v>
      </c>
      <c r="N67" s="32">
        <f t="shared" si="22"/>
        <v>3</v>
      </c>
      <c r="O67" s="32">
        <f t="shared" si="22"/>
        <v>4</v>
      </c>
      <c r="P67" s="35"/>
      <c r="Q67" s="31">
        <f>SUM(Q58:Q65)</f>
        <v>1</v>
      </c>
      <c r="R67" s="32">
        <f t="shared" ref="R67:T67" si="23">SUM(R58:R65)</f>
        <v>2</v>
      </c>
      <c r="S67" s="32">
        <f t="shared" si="23"/>
        <v>4</v>
      </c>
      <c r="T67" s="32">
        <f t="shared" si="23"/>
        <v>1</v>
      </c>
      <c r="U67" s="34"/>
      <c r="V67" s="10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</row>
    <row r="68" spans="1:175" x14ac:dyDescent="0.2">
      <c r="A68" s="12">
        <v>9</v>
      </c>
      <c r="B68" s="13" t="s">
        <v>59</v>
      </c>
      <c r="C68" s="12" t="s">
        <v>60</v>
      </c>
      <c r="D68" s="12" t="s">
        <v>61</v>
      </c>
      <c r="E68" s="14" t="s">
        <v>62</v>
      </c>
      <c r="F68" s="15"/>
      <c r="G68" s="13" t="s">
        <v>59</v>
      </c>
      <c r="H68" s="12" t="s">
        <v>60</v>
      </c>
      <c r="I68" s="12" t="s">
        <v>61</v>
      </c>
      <c r="J68" s="14" t="s">
        <v>62</v>
      </c>
      <c r="K68" s="15"/>
      <c r="L68" s="13" t="s">
        <v>59</v>
      </c>
      <c r="M68" s="12" t="s">
        <v>60</v>
      </c>
      <c r="N68" s="12" t="s">
        <v>61</v>
      </c>
      <c r="O68" s="14" t="s">
        <v>62</v>
      </c>
      <c r="P68" s="15"/>
      <c r="Q68" s="13" t="s">
        <v>59</v>
      </c>
      <c r="R68" s="12" t="s">
        <v>60</v>
      </c>
      <c r="S68" s="12" t="s">
        <v>61</v>
      </c>
      <c r="T68" s="14" t="s">
        <v>62</v>
      </c>
      <c r="U68" s="18"/>
      <c r="V68" s="10"/>
    </row>
    <row r="69" spans="1:175" x14ac:dyDescent="0.2">
      <c r="A69" s="16">
        <v>1</v>
      </c>
      <c r="B69" s="17">
        <v>2</v>
      </c>
      <c r="C69" s="5">
        <v>1</v>
      </c>
      <c r="D69" s="5">
        <v>1</v>
      </c>
      <c r="E69" s="18">
        <v>1</v>
      </c>
      <c r="F69" s="19" t="s">
        <v>63</v>
      </c>
      <c r="G69" s="17">
        <v>1</v>
      </c>
      <c r="H69" s="5">
        <v>0</v>
      </c>
      <c r="I69" s="5">
        <v>0</v>
      </c>
      <c r="J69" s="18">
        <v>0</v>
      </c>
      <c r="K69" s="19" t="s">
        <v>63</v>
      </c>
      <c r="L69" s="17">
        <v>2</v>
      </c>
      <c r="M69" s="5">
        <v>1</v>
      </c>
      <c r="N69" s="5">
        <v>2</v>
      </c>
      <c r="O69" s="18">
        <v>0</v>
      </c>
      <c r="P69" s="19" t="s">
        <v>63</v>
      </c>
      <c r="Q69" s="22">
        <v>1</v>
      </c>
      <c r="R69" s="7">
        <v>2</v>
      </c>
      <c r="S69" s="7">
        <v>0</v>
      </c>
      <c r="T69" s="23">
        <v>1</v>
      </c>
      <c r="U69" s="20" t="s">
        <v>63</v>
      </c>
      <c r="V69" s="10"/>
    </row>
    <row r="70" spans="1:175" x14ac:dyDescent="0.2">
      <c r="A70" s="16">
        <v>2</v>
      </c>
      <c r="B70" s="17">
        <v>1</v>
      </c>
      <c r="C70" s="5">
        <v>1</v>
      </c>
      <c r="D70" s="5">
        <v>1</v>
      </c>
      <c r="E70" s="18">
        <v>0</v>
      </c>
      <c r="F70" s="21">
        <f>AVERAGE(B78:E78)</f>
        <v>12</v>
      </c>
      <c r="G70" s="17">
        <v>0</v>
      </c>
      <c r="H70" s="5">
        <v>0</v>
      </c>
      <c r="I70" s="5">
        <v>1</v>
      </c>
      <c r="J70" s="18">
        <v>0</v>
      </c>
      <c r="K70" s="21">
        <f>AVERAGE(G78:J78)</f>
        <v>3.25</v>
      </c>
      <c r="L70" s="17">
        <v>1</v>
      </c>
      <c r="M70" s="5">
        <v>0</v>
      </c>
      <c r="N70" s="5">
        <v>1</v>
      </c>
      <c r="O70" s="18">
        <v>2</v>
      </c>
      <c r="P70" s="21">
        <f>AVERAGE(L78:O78)</f>
        <v>6.5</v>
      </c>
      <c r="Q70" s="22">
        <v>1</v>
      </c>
      <c r="R70" s="7">
        <v>1</v>
      </c>
      <c r="S70" s="7">
        <v>1</v>
      </c>
      <c r="T70" s="23">
        <v>1</v>
      </c>
      <c r="U70" s="24">
        <f>AVERAGE(Q78:T78)</f>
        <v>8</v>
      </c>
      <c r="V70" s="10"/>
    </row>
    <row r="71" spans="1:175" x14ac:dyDescent="0.2">
      <c r="A71" s="16">
        <v>3</v>
      </c>
      <c r="B71" s="17">
        <v>1</v>
      </c>
      <c r="C71" s="5">
        <v>2</v>
      </c>
      <c r="D71" s="5">
        <v>1</v>
      </c>
      <c r="E71" s="18">
        <v>1</v>
      </c>
      <c r="F71" s="15"/>
      <c r="G71" s="17">
        <v>2</v>
      </c>
      <c r="H71" s="5">
        <v>0</v>
      </c>
      <c r="I71" s="5">
        <v>0</v>
      </c>
      <c r="J71" s="18">
        <v>3</v>
      </c>
      <c r="K71" s="15"/>
      <c r="L71" s="17">
        <v>0</v>
      </c>
      <c r="M71" s="5">
        <v>1</v>
      </c>
      <c r="N71" s="5">
        <v>0</v>
      </c>
      <c r="O71" s="18">
        <v>0</v>
      </c>
      <c r="P71" s="15"/>
      <c r="Q71" s="22">
        <v>1</v>
      </c>
      <c r="R71" s="7">
        <v>2</v>
      </c>
      <c r="S71" s="7">
        <v>2</v>
      </c>
      <c r="T71" s="23">
        <v>2</v>
      </c>
      <c r="U71" s="18"/>
      <c r="V71" s="10"/>
    </row>
    <row r="72" spans="1:175" x14ac:dyDescent="0.2">
      <c r="A72" s="16">
        <v>4</v>
      </c>
      <c r="B72" s="17">
        <v>2</v>
      </c>
      <c r="C72" s="5">
        <v>6</v>
      </c>
      <c r="D72" s="5">
        <v>3</v>
      </c>
      <c r="E72" s="18">
        <v>0</v>
      </c>
      <c r="F72" s="19" t="s">
        <v>64</v>
      </c>
      <c r="G72" s="17">
        <v>1</v>
      </c>
      <c r="H72" s="5">
        <v>0</v>
      </c>
      <c r="I72" s="5">
        <v>0</v>
      </c>
      <c r="J72" s="18">
        <v>0</v>
      </c>
      <c r="K72" s="19" t="s">
        <v>64</v>
      </c>
      <c r="L72" s="17">
        <v>0</v>
      </c>
      <c r="M72" s="5">
        <v>1</v>
      </c>
      <c r="N72" s="5">
        <v>2</v>
      </c>
      <c r="O72" s="18">
        <v>1</v>
      </c>
      <c r="P72" s="19" t="s">
        <v>64</v>
      </c>
      <c r="Q72" s="22">
        <v>0</v>
      </c>
      <c r="R72" s="7">
        <v>0</v>
      </c>
      <c r="S72" s="7">
        <v>3</v>
      </c>
      <c r="T72" s="23">
        <v>0</v>
      </c>
      <c r="U72" s="20" t="s">
        <v>64</v>
      </c>
      <c r="V72" s="10"/>
    </row>
    <row r="73" spans="1:175" x14ac:dyDescent="0.2">
      <c r="A73" s="16">
        <v>5</v>
      </c>
      <c r="B73" s="17">
        <v>1</v>
      </c>
      <c r="C73" s="5">
        <v>2</v>
      </c>
      <c r="D73" s="5">
        <v>3</v>
      </c>
      <c r="E73" s="18">
        <v>3</v>
      </c>
      <c r="F73" s="15">
        <f>(F70*10)*1750</f>
        <v>210000</v>
      </c>
      <c r="G73" s="17">
        <v>0</v>
      </c>
      <c r="H73" s="5">
        <v>2</v>
      </c>
      <c r="I73" s="5">
        <v>0</v>
      </c>
      <c r="J73" s="18">
        <v>1</v>
      </c>
      <c r="K73" s="15">
        <f>(K70*10)*1750</f>
        <v>56875</v>
      </c>
      <c r="L73" s="17">
        <v>3</v>
      </c>
      <c r="M73" s="5">
        <v>0</v>
      </c>
      <c r="N73" s="5">
        <v>2</v>
      </c>
      <c r="O73" s="18">
        <v>1</v>
      </c>
      <c r="P73" s="15">
        <f>(P70*10)*1750</f>
        <v>113750</v>
      </c>
      <c r="Q73" s="22">
        <v>0</v>
      </c>
      <c r="R73" s="7">
        <v>1</v>
      </c>
      <c r="S73" s="7">
        <v>0</v>
      </c>
      <c r="T73" s="23">
        <v>1</v>
      </c>
      <c r="U73" s="18">
        <f>(U70*10)*1000</f>
        <v>80000</v>
      </c>
      <c r="V73" s="10"/>
    </row>
    <row r="74" spans="1:175" x14ac:dyDescent="0.2">
      <c r="A74" s="16">
        <v>6</v>
      </c>
      <c r="B74" s="17">
        <v>0</v>
      </c>
      <c r="C74" s="5">
        <v>1</v>
      </c>
      <c r="D74" s="5">
        <v>1</v>
      </c>
      <c r="E74" s="18">
        <v>4</v>
      </c>
      <c r="F74" s="15"/>
      <c r="G74" s="17">
        <v>0</v>
      </c>
      <c r="H74" s="5">
        <v>0</v>
      </c>
      <c r="I74" s="5">
        <v>1</v>
      </c>
      <c r="J74" s="18">
        <v>0</v>
      </c>
      <c r="K74" s="15"/>
      <c r="L74" s="17">
        <v>1</v>
      </c>
      <c r="M74" s="5">
        <v>1</v>
      </c>
      <c r="N74" s="5">
        <v>1</v>
      </c>
      <c r="O74" s="18">
        <v>0</v>
      </c>
      <c r="P74" s="15"/>
      <c r="Q74" s="22">
        <v>0</v>
      </c>
      <c r="R74" s="7">
        <v>1</v>
      </c>
      <c r="S74" s="7">
        <v>0</v>
      </c>
      <c r="T74" s="23">
        <v>5</v>
      </c>
      <c r="U74" s="18"/>
      <c r="V74" s="10"/>
    </row>
    <row r="75" spans="1:175" x14ac:dyDescent="0.2">
      <c r="A75" s="16">
        <v>7</v>
      </c>
      <c r="B75" s="17">
        <v>0</v>
      </c>
      <c r="C75" s="5">
        <v>0</v>
      </c>
      <c r="D75" s="5">
        <v>1</v>
      </c>
      <c r="E75" s="18">
        <v>1</v>
      </c>
      <c r="F75" s="15"/>
      <c r="G75" s="17">
        <v>1</v>
      </c>
      <c r="H75" s="5">
        <v>0</v>
      </c>
      <c r="I75" s="5">
        <v>0</v>
      </c>
      <c r="J75" s="18">
        <v>0</v>
      </c>
      <c r="K75" s="15"/>
      <c r="L75" s="17">
        <v>1</v>
      </c>
      <c r="M75" s="5">
        <v>0</v>
      </c>
      <c r="N75" s="5">
        <v>0</v>
      </c>
      <c r="O75" s="18">
        <v>0</v>
      </c>
      <c r="P75" s="15"/>
      <c r="Q75" s="22">
        <v>0</v>
      </c>
      <c r="R75" s="7">
        <v>0</v>
      </c>
      <c r="S75" s="7">
        <v>2</v>
      </c>
      <c r="T75" s="23">
        <v>0</v>
      </c>
      <c r="U75" s="18"/>
      <c r="V75" s="10"/>
    </row>
    <row r="76" spans="1:175" x14ac:dyDescent="0.2">
      <c r="A76" s="16">
        <v>8</v>
      </c>
      <c r="B76" s="17">
        <v>1</v>
      </c>
      <c r="C76" s="5">
        <v>3</v>
      </c>
      <c r="D76" s="5">
        <v>1</v>
      </c>
      <c r="E76" s="18">
        <v>2</v>
      </c>
      <c r="F76" s="15"/>
      <c r="G76" s="17">
        <v>0</v>
      </c>
      <c r="H76" s="5">
        <v>0</v>
      </c>
      <c r="I76" s="5">
        <v>0</v>
      </c>
      <c r="J76" s="18">
        <v>0</v>
      </c>
      <c r="K76" s="15"/>
      <c r="L76" s="17">
        <v>0</v>
      </c>
      <c r="M76" s="5">
        <v>2</v>
      </c>
      <c r="N76" s="5">
        <v>0</v>
      </c>
      <c r="O76" s="18">
        <v>0</v>
      </c>
      <c r="P76" s="15"/>
      <c r="Q76" s="22">
        <v>1</v>
      </c>
      <c r="R76" s="7">
        <v>1</v>
      </c>
      <c r="S76" s="7">
        <v>1</v>
      </c>
      <c r="T76" s="23">
        <v>1</v>
      </c>
      <c r="U76" s="18"/>
      <c r="V76" s="10"/>
    </row>
    <row r="77" spans="1:175" x14ac:dyDescent="0.2">
      <c r="A77" s="27"/>
      <c r="B77" s="28" t="s">
        <v>64</v>
      </c>
      <c r="C77" s="29" t="s">
        <v>64</v>
      </c>
      <c r="D77" s="29" t="s">
        <v>64</v>
      </c>
      <c r="E77" s="29" t="s">
        <v>64</v>
      </c>
      <c r="F77" s="19"/>
      <c r="G77" s="28" t="s">
        <v>64</v>
      </c>
      <c r="H77" s="29" t="s">
        <v>64</v>
      </c>
      <c r="I77" s="29" t="s">
        <v>64</v>
      </c>
      <c r="J77" s="29" t="s">
        <v>64</v>
      </c>
      <c r="K77" s="19"/>
      <c r="L77" s="28" t="s">
        <v>64</v>
      </c>
      <c r="M77" s="29" t="s">
        <v>64</v>
      </c>
      <c r="N77" s="29" t="s">
        <v>64</v>
      </c>
      <c r="O77" s="29" t="s">
        <v>64</v>
      </c>
      <c r="P77" s="19"/>
      <c r="Q77" s="28" t="s">
        <v>64</v>
      </c>
      <c r="R77" s="29" t="s">
        <v>64</v>
      </c>
      <c r="S77" s="29" t="s">
        <v>64</v>
      </c>
      <c r="T77" s="29" t="s">
        <v>64</v>
      </c>
      <c r="U77" s="20"/>
      <c r="V77" s="10"/>
    </row>
    <row r="78" spans="1:175" s="11" customFormat="1" x14ac:dyDescent="0.2">
      <c r="A78" s="30"/>
      <c r="B78" s="31">
        <f>SUM(B69:B76)</f>
        <v>8</v>
      </c>
      <c r="C78" s="32">
        <f t="shared" ref="C78:E78" si="24">SUM(C69:C76)</f>
        <v>16</v>
      </c>
      <c r="D78" s="32">
        <f t="shared" si="24"/>
        <v>12</v>
      </c>
      <c r="E78" s="32">
        <f t="shared" si="24"/>
        <v>12</v>
      </c>
      <c r="F78" s="33"/>
      <c r="G78" s="31">
        <f>SUM(G69:G76)</f>
        <v>5</v>
      </c>
      <c r="H78" s="32">
        <f t="shared" ref="H78:J78" si="25">SUM(H69:H76)</f>
        <v>2</v>
      </c>
      <c r="I78" s="32">
        <f t="shared" si="25"/>
        <v>2</v>
      </c>
      <c r="J78" s="32">
        <f t="shared" si="25"/>
        <v>4</v>
      </c>
      <c r="K78" s="33"/>
      <c r="L78" s="31">
        <f>SUM(L69:L76)</f>
        <v>8</v>
      </c>
      <c r="M78" s="32">
        <f t="shared" ref="M78:O78" si="26">SUM(M69:M76)</f>
        <v>6</v>
      </c>
      <c r="N78" s="32">
        <f t="shared" si="26"/>
        <v>8</v>
      </c>
      <c r="O78" s="32">
        <f t="shared" si="26"/>
        <v>4</v>
      </c>
      <c r="P78" s="35"/>
      <c r="Q78" s="31">
        <f>SUM(Q69:Q76)</f>
        <v>4</v>
      </c>
      <c r="R78" s="32">
        <f t="shared" ref="R78:T78" si="27">SUM(R69:R76)</f>
        <v>8</v>
      </c>
      <c r="S78" s="32">
        <f t="shared" si="27"/>
        <v>9</v>
      </c>
      <c r="T78" s="32">
        <f t="shared" si="27"/>
        <v>11</v>
      </c>
      <c r="U78" s="34"/>
      <c r="V78" s="10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</row>
    <row r="79" spans="1:175" x14ac:dyDescent="0.2">
      <c r="A79" s="12">
        <v>10</v>
      </c>
      <c r="B79" s="13" t="s">
        <v>59</v>
      </c>
      <c r="C79" s="12" t="s">
        <v>60</v>
      </c>
      <c r="D79" s="12" t="s">
        <v>61</v>
      </c>
      <c r="E79" s="14" t="s">
        <v>62</v>
      </c>
      <c r="F79" s="15"/>
      <c r="G79" s="13" t="s">
        <v>59</v>
      </c>
      <c r="H79" s="12" t="s">
        <v>60</v>
      </c>
      <c r="I79" s="12" t="s">
        <v>61</v>
      </c>
      <c r="J79" s="14" t="s">
        <v>62</v>
      </c>
      <c r="K79" s="15"/>
      <c r="L79" s="13" t="s">
        <v>59</v>
      </c>
      <c r="M79" s="12" t="s">
        <v>60</v>
      </c>
      <c r="N79" s="12" t="s">
        <v>61</v>
      </c>
      <c r="O79" s="14" t="s">
        <v>62</v>
      </c>
      <c r="P79" s="15"/>
      <c r="Q79" s="13" t="s">
        <v>59</v>
      </c>
      <c r="R79" s="12" t="s">
        <v>60</v>
      </c>
      <c r="S79" s="12" t="s">
        <v>61</v>
      </c>
      <c r="T79" s="14" t="s">
        <v>62</v>
      </c>
      <c r="U79" s="18"/>
      <c r="V79" s="10"/>
    </row>
    <row r="80" spans="1:175" x14ac:dyDescent="0.2">
      <c r="A80" s="16">
        <v>1</v>
      </c>
      <c r="B80" s="17">
        <v>1</v>
      </c>
      <c r="C80" s="5">
        <v>1</v>
      </c>
      <c r="D80" s="5">
        <v>1</v>
      </c>
      <c r="E80" s="18">
        <v>2</v>
      </c>
      <c r="F80" s="19" t="s">
        <v>63</v>
      </c>
      <c r="G80" s="17">
        <v>0</v>
      </c>
      <c r="H80" s="5">
        <v>0</v>
      </c>
      <c r="I80" s="5">
        <v>0</v>
      </c>
      <c r="J80" s="18">
        <v>0</v>
      </c>
      <c r="K80" s="19" t="s">
        <v>63</v>
      </c>
      <c r="L80" s="17">
        <v>0</v>
      </c>
      <c r="M80" s="5">
        <v>0</v>
      </c>
      <c r="N80" s="5">
        <v>0</v>
      </c>
      <c r="O80" s="18">
        <v>0</v>
      </c>
      <c r="P80" s="19" t="s">
        <v>63</v>
      </c>
      <c r="Q80" s="7" t="s">
        <v>68</v>
      </c>
      <c r="R80" s="7" t="s">
        <v>68</v>
      </c>
      <c r="S80" s="7" t="s">
        <v>68</v>
      </c>
      <c r="T80" s="7" t="s">
        <v>68</v>
      </c>
      <c r="U80" s="20" t="s">
        <v>63</v>
      </c>
      <c r="V80" s="10"/>
    </row>
    <row r="81" spans="1:175" x14ac:dyDescent="0.2">
      <c r="A81" s="16">
        <v>2</v>
      </c>
      <c r="B81" s="17">
        <v>0</v>
      </c>
      <c r="C81" s="5">
        <v>1</v>
      </c>
      <c r="D81" s="5">
        <v>1</v>
      </c>
      <c r="E81" s="18">
        <v>1</v>
      </c>
      <c r="F81" s="21">
        <f>AVERAGE(B89:E89)</f>
        <v>3.5</v>
      </c>
      <c r="G81" s="17">
        <v>0</v>
      </c>
      <c r="H81" s="5">
        <v>0</v>
      </c>
      <c r="I81" s="5">
        <v>0</v>
      </c>
      <c r="J81" s="18">
        <v>0</v>
      </c>
      <c r="K81" s="21">
        <f>AVERAGE(G89:J89)</f>
        <v>0.25</v>
      </c>
      <c r="L81" s="17">
        <v>1</v>
      </c>
      <c r="M81" s="5">
        <v>0</v>
      </c>
      <c r="N81" s="5">
        <v>0</v>
      </c>
      <c r="O81" s="18">
        <v>1</v>
      </c>
      <c r="P81" s="21">
        <f>AVERAGE(L89:O89)</f>
        <v>0.5</v>
      </c>
      <c r="Q81" s="7" t="s">
        <v>68</v>
      </c>
      <c r="R81" s="7" t="s">
        <v>68</v>
      </c>
      <c r="S81" s="7" t="s">
        <v>68</v>
      </c>
      <c r="T81" s="7" t="s">
        <v>68</v>
      </c>
      <c r="U81" s="24">
        <f>AVERAGE(Q89:T89)</f>
        <v>0</v>
      </c>
      <c r="V81" s="10"/>
    </row>
    <row r="82" spans="1:175" x14ac:dyDescent="0.2">
      <c r="A82" s="16">
        <v>3</v>
      </c>
      <c r="B82" s="17">
        <v>0</v>
      </c>
      <c r="C82" s="5">
        <v>0</v>
      </c>
      <c r="D82" s="5">
        <v>0</v>
      </c>
      <c r="E82" s="18">
        <v>0</v>
      </c>
      <c r="F82" s="15"/>
      <c r="G82" s="17">
        <v>0</v>
      </c>
      <c r="H82" s="5">
        <v>0</v>
      </c>
      <c r="I82" s="5">
        <v>0</v>
      </c>
      <c r="J82" s="18">
        <v>0</v>
      </c>
      <c r="K82" s="15"/>
      <c r="L82" s="17">
        <v>0</v>
      </c>
      <c r="M82" s="5">
        <v>0</v>
      </c>
      <c r="N82" s="5">
        <v>0</v>
      </c>
      <c r="O82" s="18">
        <v>0</v>
      </c>
      <c r="P82" s="15"/>
      <c r="Q82" s="7" t="s">
        <v>68</v>
      </c>
      <c r="R82" s="7" t="s">
        <v>68</v>
      </c>
      <c r="S82" s="7" t="s">
        <v>68</v>
      </c>
      <c r="T82" s="7" t="s">
        <v>68</v>
      </c>
      <c r="U82" s="18"/>
      <c r="V82" s="10"/>
    </row>
    <row r="83" spans="1:175" x14ac:dyDescent="0.2">
      <c r="A83" s="16">
        <v>4</v>
      </c>
      <c r="B83" s="17">
        <v>1</v>
      </c>
      <c r="C83" s="5">
        <v>0</v>
      </c>
      <c r="D83" s="5">
        <v>0</v>
      </c>
      <c r="E83" s="18">
        <v>0</v>
      </c>
      <c r="F83" s="19" t="s">
        <v>64</v>
      </c>
      <c r="G83" s="17">
        <v>0</v>
      </c>
      <c r="H83" s="5">
        <v>0</v>
      </c>
      <c r="I83" s="5">
        <v>0</v>
      </c>
      <c r="J83" s="18">
        <v>0</v>
      </c>
      <c r="K83" s="19" t="s">
        <v>64</v>
      </c>
      <c r="L83" s="17">
        <v>0</v>
      </c>
      <c r="M83" s="5">
        <v>0</v>
      </c>
      <c r="N83" s="5">
        <v>0</v>
      </c>
      <c r="O83" s="18">
        <v>0</v>
      </c>
      <c r="P83" s="19" t="s">
        <v>64</v>
      </c>
      <c r="Q83" s="7" t="s">
        <v>68</v>
      </c>
      <c r="R83" s="7" t="s">
        <v>68</v>
      </c>
      <c r="S83" s="7" t="s">
        <v>68</v>
      </c>
      <c r="T83" s="7" t="s">
        <v>68</v>
      </c>
      <c r="U83" s="20" t="s">
        <v>64</v>
      </c>
      <c r="V83" s="10"/>
    </row>
    <row r="84" spans="1:175" x14ac:dyDescent="0.2">
      <c r="A84" s="16">
        <v>5</v>
      </c>
      <c r="B84" s="17">
        <v>2</v>
      </c>
      <c r="C84" s="5">
        <v>0</v>
      </c>
      <c r="D84" s="5">
        <v>0</v>
      </c>
      <c r="E84" s="18">
        <v>0</v>
      </c>
      <c r="F84" s="15">
        <f>(F81*10)*1750</f>
        <v>61250</v>
      </c>
      <c r="G84" s="17">
        <v>0</v>
      </c>
      <c r="H84" s="5">
        <v>0</v>
      </c>
      <c r="I84" s="5">
        <v>0</v>
      </c>
      <c r="J84" s="18">
        <v>0</v>
      </c>
      <c r="K84" s="15">
        <f>(K81*10)*1750</f>
        <v>4375</v>
      </c>
      <c r="L84" s="17">
        <v>0</v>
      </c>
      <c r="M84" s="5">
        <v>0</v>
      </c>
      <c r="N84" s="5">
        <v>0</v>
      </c>
      <c r="O84" s="18">
        <v>0</v>
      </c>
      <c r="P84" s="15">
        <f>(P81*10)*1750</f>
        <v>8750</v>
      </c>
      <c r="Q84" s="7" t="s">
        <v>68</v>
      </c>
      <c r="R84" s="7" t="s">
        <v>68</v>
      </c>
      <c r="S84" s="7" t="s">
        <v>68</v>
      </c>
      <c r="T84" s="7" t="s">
        <v>68</v>
      </c>
      <c r="U84" s="18">
        <f>(U81*10)*1000</f>
        <v>0</v>
      </c>
      <c r="V84" s="10"/>
    </row>
    <row r="85" spans="1:175" x14ac:dyDescent="0.2">
      <c r="A85" s="16">
        <v>6</v>
      </c>
      <c r="B85" s="17">
        <v>0</v>
      </c>
      <c r="C85" s="5">
        <v>1</v>
      </c>
      <c r="D85" s="5">
        <v>0</v>
      </c>
      <c r="E85" s="18">
        <v>1</v>
      </c>
      <c r="F85" s="15"/>
      <c r="G85" s="17">
        <v>0</v>
      </c>
      <c r="H85" s="5">
        <v>0</v>
      </c>
      <c r="I85" s="5">
        <v>0</v>
      </c>
      <c r="J85" s="18">
        <v>0</v>
      </c>
      <c r="K85" s="15"/>
      <c r="L85" s="17">
        <v>0</v>
      </c>
      <c r="M85" s="5">
        <v>0</v>
      </c>
      <c r="N85" s="5">
        <v>0</v>
      </c>
      <c r="O85" s="18">
        <v>0</v>
      </c>
      <c r="P85" s="15"/>
      <c r="Q85" s="7" t="s">
        <v>68</v>
      </c>
      <c r="R85" s="7" t="s">
        <v>68</v>
      </c>
      <c r="S85" s="7" t="s">
        <v>68</v>
      </c>
      <c r="T85" s="7" t="s">
        <v>68</v>
      </c>
      <c r="U85" s="18"/>
      <c r="V85" s="10"/>
    </row>
    <row r="86" spans="1:175" x14ac:dyDescent="0.2">
      <c r="A86" s="16">
        <v>7</v>
      </c>
      <c r="B86" s="17">
        <v>0</v>
      </c>
      <c r="C86" s="5">
        <v>0</v>
      </c>
      <c r="D86" s="5">
        <v>1</v>
      </c>
      <c r="E86" s="18">
        <v>0</v>
      </c>
      <c r="F86" s="15"/>
      <c r="G86" s="17">
        <v>0</v>
      </c>
      <c r="H86" s="5">
        <v>1</v>
      </c>
      <c r="I86" s="5">
        <v>0</v>
      </c>
      <c r="J86" s="18">
        <v>0</v>
      </c>
      <c r="K86" s="15"/>
      <c r="L86" s="17">
        <v>0</v>
      </c>
      <c r="M86" s="5">
        <v>0</v>
      </c>
      <c r="N86" s="5">
        <v>0</v>
      </c>
      <c r="O86" s="18">
        <v>0</v>
      </c>
      <c r="P86" s="15"/>
      <c r="Q86" s="7" t="s">
        <v>68</v>
      </c>
      <c r="R86" s="7" t="s">
        <v>68</v>
      </c>
      <c r="S86" s="7" t="s">
        <v>68</v>
      </c>
      <c r="T86" s="7" t="s">
        <v>68</v>
      </c>
      <c r="U86" s="18"/>
      <c r="V86" s="10"/>
    </row>
    <row r="87" spans="1:175" x14ac:dyDescent="0.2">
      <c r="A87" s="16">
        <v>8</v>
      </c>
      <c r="B87" s="17">
        <v>0</v>
      </c>
      <c r="C87" s="5">
        <v>0</v>
      </c>
      <c r="D87" s="5">
        <v>0</v>
      </c>
      <c r="E87" s="18">
        <v>0</v>
      </c>
      <c r="F87" s="15"/>
      <c r="G87" s="17">
        <v>0</v>
      </c>
      <c r="H87" s="5">
        <v>0</v>
      </c>
      <c r="I87" s="5">
        <v>0</v>
      </c>
      <c r="J87" s="18">
        <v>0</v>
      </c>
      <c r="K87" s="15"/>
      <c r="L87" s="17">
        <v>0</v>
      </c>
      <c r="M87" s="5">
        <v>0</v>
      </c>
      <c r="N87" s="5">
        <v>0</v>
      </c>
      <c r="O87" s="18">
        <v>0</v>
      </c>
      <c r="P87" s="15"/>
      <c r="Q87" s="7" t="s">
        <v>68</v>
      </c>
      <c r="R87" s="7" t="s">
        <v>68</v>
      </c>
      <c r="S87" s="7" t="s">
        <v>68</v>
      </c>
      <c r="T87" s="7" t="s">
        <v>68</v>
      </c>
      <c r="U87" s="18"/>
      <c r="V87" s="10"/>
    </row>
    <row r="88" spans="1:175" x14ac:dyDescent="0.2">
      <c r="A88" s="27"/>
      <c r="B88" s="28" t="s">
        <v>64</v>
      </c>
      <c r="C88" s="29" t="s">
        <v>64</v>
      </c>
      <c r="D88" s="29" t="s">
        <v>64</v>
      </c>
      <c r="E88" s="29" t="s">
        <v>64</v>
      </c>
      <c r="F88" s="19"/>
      <c r="G88" s="28" t="s">
        <v>64</v>
      </c>
      <c r="H88" s="29" t="s">
        <v>64</v>
      </c>
      <c r="I88" s="29" t="s">
        <v>64</v>
      </c>
      <c r="J88" s="29" t="s">
        <v>64</v>
      </c>
      <c r="K88" s="19"/>
      <c r="L88" s="28" t="s">
        <v>64</v>
      </c>
      <c r="M88" s="29" t="s">
        <v>64</v>
      </c>
      <c r="N88" s="29" t="s">
        <v>64</v>
      </c>
      <c r="O88" s="29" t="s">
        <v>64</v>
      </c>
      <c r="P88" s="19"/>
      <c r="Q88" s="28" t="s">
        <v>64</v>
      </c>
      <c r="R88" s="29" t="s">
        <v>64</v>
      </c>
      <c r="S88" s="29" t="s">
        <v>64</v>
      </c>
      <c r="T88" s="29" t="s">
        <v>64</v>
      </c>
      <c r="U88" s="20"/>
      <c r="V88" s="10"/>
    </row>
    <row r="89" spans="1:175" s="11" customFormat="1" x14ac:dyDescent="0.2">
      <c r="A89" s="30"/>
      <c r="B89" s="31">
        <f>SUM(B80:B87)</f>
        <v>4</v>
      </c>
      <c r="C89" s="32">
        <f t="shared" ref="C89:E89" si="28">SUM(C80:C87)</f>
        <v>3</v>
      </c>
      <c r="D89" s="32">
        <f t="shared" si="28"/>
        <v>3</v>
      </c>
      <c r="E89" s="32">
        <f t="shared" si="28"/>
        <v>4</v>
      </c>
      <c r="F89" s="33"/>
      <c r="G89" s="31">
        <f>SUM(G80:G87)</f>
        <v>0</v>
      </c>
      <c r="H89" s="32">
        <f t="shared" ref="H89:J89" si="29">SUM(H80:H87)</f>
        <v>1</v>
      </c>
      <c r="I89" s="32">
        <f t="shared" si="29"/>
        <v>0</v>
      </c>
      <c r="J89" s="32">
        <f t="shared" si="29"/>
        <v>0</v>
      </c>
      <c r="K89" s="33"/>
      <c r="L89" s="31">
        <f>SUM(L80:L87)</f>
        <v>1</v>
      </c>
      <c r="M89" s="32">
        <f t="shared" ref="M89:O89" si="30">SUM(M80:M87)</f>
        <v>0</v>
      </c>
      <c r="N89" s="32">
        <f t="shared" si="30"/>
        <v>0</v>
      </c>
      <c r="O89" s="32">
        <f t="shared" si="30"/>
        <v>1</v>
      </c>
      <c r="P89" s="35"/>
      <c r="Q89" s="31">
        <f>SUM(Q80:Q87)</f>
        <v>0</v>
      </c>
      <c r="R89" s="32">
        <f t="shared" ref="R89:T89" si="31">SUM(R80:R87)</f>
        <v>0</v>
      </c>
      <c r="S89" s="32">
        <f t="shared" si="31"/>
        <v>0</v>
      </c>
      <c r="T89" s="32">
        <f t="shared" si="31"/>
        <v>0</v>
      </c>
      <c r="U89" s="34"/>
      <c r="V89" s="10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</row>
    <row r="90" spans="1:175" x14ac:dyDescent="0.2">
      <c r="A90" s="12">
        <v>13</v>
      </c>
      <c r="B90" s="13" t="s">
        <v>59</v>
      </c>
      <c r="C90" s="12" t="s">
        <v>60</v>
      </c>
      <c r="D90" s="12" t="s">
        <v>61</v>
      </c>
      <c r="E90" s="14" t="s">
        <v>62</v>
      </c>
      <c r="F90" s="15"/>
      <c r="G90" s="13" t="s">
        <v>59</v>
      </c>
      <c r="H90" s="12" t="s">
        <v>60</v>
      </c>
      <c r="I90" s="12" t="s">
        <v>61</v>
      </c>
      <c r="J90" s="14" t="s">
        <v>62</v>
      </c>
      <c r="K90" s="15"/>
      <c r="L90" s="13" t="s">
        <v>59</v>
      </c>
      <c r="M90" s="12" t="s">
        <v>60</v>
      </c>
      <c r="N90" s="12" t="s">
        <v>61</v>
      </c>
      <c r="O90" s="14" t="s">
        <v>62</v>
      </c>
      <c r="P90" s="15"/>
      <c r="Q90" s="13" t="s">
        <v>59</v>
      </c>
      <c r="R90" s="12" t="s">
        <v>60</v>
      </c>
      <c r="S90" s="12" t="s">
        <v>61</v>
      </c>
      <c r="T90" s="14" t="s">
        <v>62</v>
      </c>
      <c r="U90" s="18"/>
      <c r="V90" s="10"/>
    </row>
    <row r="91" spans="1:175" x14ac:dyDescent="0.2">
      <c r="A91" s="16">
        <v>1</v>
      </c>
      <c r="B91" s="17">
        <v>1</v>
      </c>
      <c r="C91" s="5">
        <v>0</v>
      </c>
      <c r="D91" s="5">
        <v>0</v>
      </c>
      <c r="E91" s="18">
        <v>0</v>
      </c>
      <c r="F91" s="19" t="s">
        <v>63</v>
      </c>
      <c r="G91" s="17">
        <v>1</v>
      </c>
      <c r="H91" s="5">
        <v>0</v>
      </c>
      <c r="I91" s="5">
        <v>0</v>
      </c>
      <c r="J91" s="18">
        <v>0</v>
      </c>
      <c r="K91" s="19" t="s">
        <v>63</v>
      </c>
      <c r="L91" s="17">
        <v>1</v>
      </c>
      <c r="M91" s="5">
        <v>0</v>
      </c>
      <c r="N91" s="5">
        <v>1</v>
      </c>
      <c r="O91" s="18">
        <v>1</v>
      </c>
      <c r="P91" s="19" t="s">
        <v>63</v>
      </c>
      <c r="Q91" s="22">
        <v>1</v>
      </c>
      <c r="R91" s="7">
        <v>0</v>
      </c>
      <c r="S91" s="7">
        <v>1</v>
      </c>
      <c r="T91" s="23">
        <v>0</v>
      </c>
      <c r="U91" s="20" t="s">
        <v>63</v>
      </c>
      <c r="V91" s="10"/>
    </row>
    <row r="92" spans="1:175" x14ac:dyDescent="0.2">
      <c r="A92" s="16">
        <v>2</v>
      </c>
      <c r="B92" s="17">
        <v>3</v>
      </c>
      <c r="C92" s="5">
        <v>1</v>
      </c>
      <c r="D92" s="5">
        <v>1</v>
      </c>
      <c r="E92" s="18">
        <v>1</v>
      </c>
      <c r="F92" s="21">
        <f>AVERAGE(B100:E100)</f>
        <v>14.5</v>
      </c>
      <c r="G92" s="17">
        <v>1</v>
      </c>
      <c r="H92" s="5">
        <v>1</v>
      </c>
      <c r="I92" s="5">
        <v>1</v>
      </c>
      <c r="J92" s="18">
        <v>1</v>
      </c>
      <c r="K92" s="21">
        <f>AVERAGE(G100:J100)</f>
        <v>6</v>
      </c>
      <c r="L92" s="17">
        <v>1</v>
      </c>
      <c r="M92" s="5">
        <v>1</v>
      </c>
      <c r="N92" s="5">
        <v>3</v>
      </c>
      <c r="O92" s="18">
        <v>1</v>
      </c>
      <c r="P92" s="21">
        <f>AVERAGE(L100:O100)</f>
        <v>7.5</v>
      </c>
      <c r="Q92" s="22">
        <v>1</v>
      </c>
      <c r="R92" s="7">
        <v>0</v>
      </c>
      <c r="S92" s="7">
        <v>2</v>
      </c>
      <c r="T92" s="23">
        <v>0</v>
      </c>
      <c r="U92" s="24">
        <f>AVERAGE(Q100:T100)</f>
        <v>10.5</v>
      </c>
      <c r="V92" s="10"/>
    </row>
    <row r="93" spans="1:175" x14ac:dyDescent="0.2">
      <c r="A93" s="16">
        <v>3</v>
      </c>
      <c r="B93" s="17">
        <v>2</v>
      </c>
      <c r="C93" s="5">
        <v>2</v>
      </c>
      <c r="D93" s="5">
        <v>4</v>
      </c>
      <c r="E93" s="18">
        <v>0</v>
      </c>
      <c r="F93" s="15"/>
      <c r="G93" s="17">
        <v>0</v>
      </c>
      <c r="H93" s="5">
        <v>0</v>
      </c>
      <c r="I93" s="5">
        <v>1</v>
      </c>
      <c r="J93" s="18">
        <v>1</v>
      </c>
      <c r="K93" s="15"/>
      <c r="L93" s="17">
        <v>2</v>
      </c>
      <c r="M93" s="5">
        <v>2</v>
      </c>
      <c r="N93" s="5">
        <v>0</v>
      </c>
      <c r="O93" s="18">
        <v>0</v>
      </c>
      <c r="P93" s="15"/>
      <c r="Q93" s="22">
        <v>1</v>
      </c>
      <c r="R93" s="7">
        <v>3</v>
      </c>
      <c r="S93" s="7">
        <v>1</v>
      </c>
      <c r="T93" s="23">
        <v>2</v>
      </c>
      <c r="U93" s="18"/>
      <c r="V93" s="10"/>
    </row>
    <row r="94" spans="1:175" x14ac:dyDescent="0.2">
      <c r="A94" s="16">
        <v>4</v>
      </c>
      <c r="B94" s="17">
        <v>5</v>
      </c>
      <c r="C94" s="5">
        <v>3</v>
      </c>
      <c r="D94" s="5">
        <v>6</v>
      </c>
      <c r="E94" s="18">
        <v>1</v>
      </c>
      <c r="F94" s="19" t="s">
        <v>64</v>
      </c>
      <c r="G94" s="17">
        <v>2</v>
      </c>
      <c r="H94" s="5">
        <v>3</v>
      </c>
      <c r="I94" s="5">
        <v>6</v>
      </c>
      <c r="J94" s="18">
        <v>2</v>
      </c>
      <c r="K94" s="19" t="s">
        <v>64</v>
      </c>
      <c r="L94" s="17">
        <v>3</v>
      </c>
      <c r="M94" s="5">
        <v>2</v>
      </c>
      <c r="N94" s="5">
        <v>0</v>
      </c>
      <c r="O94" s="18">
        <v>0</v>
      </c>
      <c r="P94" s="19" t="s">
        <v>64</v>
      </c>
      <c r="Q94" s="22">
        <v>3</v>
      </c>
      <c r="R94" s="7">
        <v>7</v>
      </c>
      <c r="S94" s="7">
        <v>0</v>
      </c>
      <c r="T94" s="23">
        <v>3</v>
      </c>
      <c r="U94" s="20" t="s">
        <v>64</v>
      </c>
      <c r="V94" s="10"/>
    </row>
    <row r="95" spans="1:175" x14ac:dyDescent="0.2">
      <c r="A95" s="16">
        <v>5</v>
      </c>
      <c r="B95" s="17">
        <v>1</v>
      </c>
      <c r="C95" s="5">
        <v>3</v>
      </c>
      <c r="D95" s="5">
        <v>2</v>
      </c>
      <c r="E95" s="18">
        <v>2</v>
      </c>
      <c r="F95" s="15">
        <f>(F92*10)*1750</f>
        <v>253750</v>
      </c>
      <c r="G95" s="17">
        <v>0</v>
      </c>
      <c r="H95" s="5">
        <v>0</v>
      </c>
      <c r="I95" s="5">
        <v>1</v>
      </c>
      <c r="J95" s="18">
        <v>0</v>
      </c>
      <c r="K95" s="15">
        <f>(K92*10)*1750</f>
        <v>105000</v>
      </c>
      <c r="L95" s="17">
        <v>0</v>
      </c>
      <c r="M95" s="5">
        <v>0</v>
      </c>
      <c r="N95" s="5">
        <v>0</v>
      </c>
      <c r="O95" s="18">
        <v>2</v>
      </c>
      <c r="P95" s="15">
        <f>(P92*10)*1750</f>
        <v>131250</v>
      </c>
      <c r="Q95" s="22">
        <v>0</v>
      </c>
      <c r="R95" s="7">
        <v>0</v>
      </c>
      <c r="S95" s="7">
        <v>1</v>
      </c>
      <c r="T95" s="23">
        <v>0</v>
      </c>
      <c r="U95" s="18">
        <f>(U92*10)*1000</f>
        <v>105000</v>
      </c>
      <c r="V95" s="10"/>
    </row>
    <row r="96" spans="1:175" x14ac:dyDescent="0.2">
      <c r="A96" s="16">
        <v>6</v>
      </c>
      <c r="B96" s="17">
        <v>1</v>
      </c>
      <c r="C96" s="5">
        <v>1</v>
      </c>
      <c r="D96" s="5">
        <v>2</v>
      </c>
      <c r="E96" s="18">
        <v>3</v>
      </c>
      <c r="F96" s="15"/>
      <c r="G96" s="17">
        <v>0</v>
      </c>
      <c r="H96" s="5">
        <v>0</v>
      </c>
      <c r="I96" s="5">
        <v>0</v>
      </c>
      <c r="J96" s="18">
        <v>0</v>
      </c>
      <c r="K96" s="15"/>
      <c r="L96" s="17">
        <v>0</v>
      </c>
      <c r="M96" s="5">
        <v>1</v>
      </c>
      <c r="N96" s="5">
        <v>1</v>
      </c>
      <c r="O96" s="18">
        <v>3</v>
      </c>
      <c r="P96" s="15"/>
      <c r="Q96" s="22">
        <v>2</v>
      </c>
      <c r="R96" s="7">
        <v>0</v>
      </c>
      <c r="S96" s="7">
        <v>4</v>
      </c>
      <c r="T96" s="23">
        <v>0</v>
      </c>
      <c r="U96" s="18"/>
      <c r="V96" s="10"/>
    </row>
    <row r="97" spans="1:175" x14ac:dyDescent="0.2">
      <c r="A97" s="16">
        <v>7</v>
      </c>
      <c r="B97" s="17">
        <v>3</v>
      </c>
      <c r="C97" s="5">
        <v>3</v>
      </c>
      <c r="D97" s="5">
        <v>2</v>
      </c>
      <c r="E97" s="18">
        <v>0</v>
      </c>
      <c r="F97" s="15"/>
      <c r="G97" s="17">
        <v>0</v>
      </c>
      <c r="H97" s="5">
        <v>0</v>
      </c>
      <c r="I97" s="5">
        <v>0</v>
      </c>
      <c r="J97" s="18">
        <v>0</v>
      </c>
      <c r="K97" s="15"/>
      <c r="L97" s="17">
        <v>0</v>
      </c>
      <c r="M97" s="5">
        <v>1</v>
      </c>
      <c r="N97" s="5">
        <v>1</v>
      </c>
      <c r="O97" s="18">
        <v>1</v>
      </c>
      <c r="P97" s="15"/>
      <c r="Q97" s="22">
        <v>1</v>
      </c>
      <c r="R97" s="7">
        <v>1</v>
      </c>
      <c r="S97" s="7">
        <v>0</v>
      </c>
      <c r="T97" s="23">
        <v>2</v>
      </c>
      <c r="U97" s="18"/>
      <c r="V97" s="10"/>
    </row>
    <row r="98" spans="1:175" x14ac:dyDescent="0.2">
      <c r="A98" s="16">
        <v>8</v>
      </c>
      <c r="B98" s="17">
        <v>2</v>
      </c>
      <c r="C98" s="5">
        <v>1</v>
      </c>
      <c r="D98" s="5">
        <v>1</v>
      </c>
      <c r="E98" s="18">
        <v>1</v>
      </c>
      <c r="F98" s="15"/>
      <c r="G98" s="17">
        <v>1</v>
      </c>
      <c r="H98" s="5">
        <v>1</v>
      </c>
      <c r="I98" s="5">
        <v>0</v>
      </c>
      <c r="J98" s="18">
        <v>1</v>
      </c>
      <c r="K98" s="15"/>
      <c r="L98" s="17">
        <v>0</v>
      </c>
      <c r="M98" s="5">
        <v>0</v>
      </c>
      <c r="N98" s="5">
        <v>1</v>
      </c>
      <c r="O98" s="18">
        <v>1</v>
      </c>
      <c r="P98" s="15"/>
      <c r="Q98" s="22">
        <v>0</v>
      </c>
      <c r="R98" s="7">
        <v>4</v>
      </c>
      <c r="S98" s="7">
        <v>1</v>
      </c>
      <c r="T98" s="23">
        <v>1</v>
      </c>
      <c r="U98" s="18"/>
      <c r="V98" s="10"/>
    </row>
    <row r="99" spans="1:175" x14ac:dyDescent="0.2">
      <c r="A99" s="27"/>
      <c r="B99" s="28" t="s">
        <v>64</v>
      </c>
      <c r="C99" s="29" t="s">
        <v>64</v>
      </c>
      <c r="D99" s="29" t="s">
        <v>64</v>
      </c>
      <c r="E99" s="29" t="s">
        <v>64</v>
      </c>
      <c r="F99" s="19"/>
      <c r="G99" s="28" t="s">
        <v>64</v>
      </c>
      <c r="H99" s="29" t="s">
        <v>64</v>
      </c>
      <c r="I99" s="29" t="s">
        <v>64</v>
      </c>
      <c r="J99" s="29" t="s">
        <v>64</v>
      </c>
      <c r="K99" s="19"/>
      <c r="L99" s="28" t="s">
        <v>64</v>
      </c>
      <c r="M99" s="29" t="s">
        <v>64</v>
      </c>
      <c r="N99" s="29" t="s">
        <v>64</v>
      </c>
      <c r="O99" s="29" t="s">
        <v>64</v>
      </c>
      <c r="P99" s="19"/>
      <c r="Q99" s="28" t="s">
        <v>64</v>
      </c>
      <c r="R99" s="29" t="s">
        <v>64</v>
      </c>
      <c r="S99" s="29" t="s">
        <v>64</v>
      </c>
      <c r="T99" s="29" t="s">
        <v>64</v>
      </c>
      <c r="U99" s="20"/>
      <c r="V99" s="10"/>
    </row>
    <row r="100" spans="1:175" s="11" customFormat="1" x14ac:dyDescent="0.2">
      <c r="A100" s="30"/>
      <c r="B100" s="31">
        <f>SUM(B91:B98)</f>
        <v>18</v>
      </c>
      <c r="C100" s="32">
        <f t="shared" ref="C100:E100" si="32">SUM(C91:C98)</f>
        <v>14</v>
      </c>
      <c r="D100" s="32">
        <f t="shared" si="32"/>
        <v>18</v>
      </c>
      <c r="E100" s="32">
        <f t="shared" si="32"/>
        <v>8</v>
      </c>
      <c r="F100" s="33"/>
      <c r="G100" s="31">
        <f>SUM(G91:G98)</f>
        <v>5</v>
      </c>
      <c r="H100" s="32">
        <f t="shared" ref="H100:J100" si="33">SUM(H91:H98)</f>
        <v>5</v>
      </c>
      <c r="I100" s="32">
        <f t="shared" si="33"/>
        <v>9</v>
      </c>
      <c r="J100" s="32">
        <f t="shared" si="33"/>
        <v>5</v>
      </c>
      <c r="K100" s="33"/>
      <c r="L100" s="31">
        <f>SUM(L91:L98)</f>
        <v>7</v>
      </c>
      <c r="M100" s="32">
        <f t="shared" ref="M100:O100" si="34">SUM(M91:M98)</f>
        <v>7</v>
      </c>
      <c r="N100" s="32">
        <f t="shared" si="34"/>
        <v>7</v>
      </c>
      <c r="O100" s="32">
        <f t="shared" si="34"/>
        <v>9</v>
      </c>
      <c r="P100" s="35"/>
      <c r="Q100" s="31">
        <f>SUM(Q91:Q98)</f>
        <v>9</v>
      </c>
      <c r="R100" s="32">
        <f t="shared" ref="R100:T100" si="35">SUM(R91:R98)</f>
        <v>15</v>
      </c>
      <c r="S100" s="32">
        <f t="shared" si="35"/>
        <v>10</v>
      </c>
      <c r="T100" s="32">
        <f t="shared" si="35"/>
        <v>8</v>
      </c>
      <c r="U100" s="34"/>
      <c r="V100" s="1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</row>
    <row r="101" spans="1:175" x14ac:dyDescent="0.2">
      <c r="A101" s="12">
        <v>14</v>
      </c>
      <c r="B101" s="13" t="s">
        <v>59</v>
      </c>
      <c r="C101" s="12" t="s">
        <v>60</v>
      </c>
      <c r="D101" s="12" t="s">
        <v>61</v>
      </c>
      <c r="E101" s="14" t="s">
        <v>62</v>
      </c>
      <c r="F101" s="15"/>
      <c r="G101" s="13" t="s">
        <v>59</v>
      </c>
      <c r="H101" s="12" t="s">
        <v>60</v>
      </c>
      <c r="I101" s="12" t="s">
        <v>61</v>
      </c>
      <c r="J101" s="14" t="s">
        <v>62</v>
      </c>
      <c r="K101" s="15"/>
      <c r="L101" s="13" t="s">
        <v>59</v>
      </c>
      <c r="M101" s="12" t="s">
        <v>60</v>
      </c>
      <c r="N101" s="12" t="s">
        <v>61</v>
      </c>
      <c r="O101" s="14" t="s">
        <v>62</v>
      </c>
      <c r="P101" s="15"/>
      <c r="Q101" s="13" t="s">
        <v>59</v>
      </c>
      <c r="R101" s="12" t="s">
        <v>60</v>
      </c>
      <c r="S101" s="12" t="s">
        <v>61</v>
      </c>
      <c r="T101" s="14" t="s">
        <v>62</v>
      </c>
      <c r="U101" s="18"/>
      <c r="V101" s="10"/>
    </row>
    <row r="102" spans="1:175" x14ac:dyDescent="0.2">
      <c r="A102" s="16">
        <v>1</v>
      </c>
      <c r="B102" s="17">
        <v>2</v>
      </c>
      <c r="C102" s="5">
        <v>0</v>
      </c>
      <c r="D102" s="5">
        <v>0</v>
      </c>
      <c r="E102" s="18">
        <v>1</v>
      </c>
      <c r="F102" s="19" t="s">
        <v>63</v>
      </c>
      <c r="G102" s="17">
        <v>0</v>
      </c>
      <c r="H102" s="5">
        <v>0</v>
      </c>
      <c r="I102" s="5">
        <v>1</v>
      </c>
      <c r="J102" s="18">
        <v>0</v>
      </c>
      <c r="K102" s="19" t="s">
        <v>63</v>
      </c>
      <c r="L102" s="17">
        <v>1</v>
      </c>
      <c r="M102" s="5">
        <v>1</v>
      </c>
      <c r="N102" s="5">
        <v>0</v>
      </c>
      <c r="O102" s="18">
        <v>0</v>
      </c>
      <c r="P102" s="19" t="s">
        <v>63</v>
      </c>
      <c r="Q102" s="22">
        <v>1</v>
      </c>
      <c r="R102" s="7">
        <v>0</v>
      </c>
      <c r="S102" s="7">
        <v>1</v>
      </c>
      <c r="T102" s="23">
        <v>2</v>
      </c>
      <c r="U102" s="20" t="s">
        <v>63</v>
      </c>
      <c r="V102" s="10"/>
    </row>
    <row r="103" spans="1:175" x14ac:dyDescent="0.2">
      <c r="A103" s="16">
        <v>2</v>
      </c>
      <c r="B103" s="17">
        <v>2</v>
      </c>
      <c r="C103" s="5">
        <v>0</v>
      </c>
      <c r="D103" s="5">
        <v>0</v>
      </c>
      <c r="E103" s="18">
        <v>0</v>
      </c>
      <c r="F103" s="21">
        <f>AVERAGE(B111:E111)</f>
        <v>11.5</v>
      </c>
      <c r="G103" s="17">
        <v>0</v>
      </c>
      <c r="H103" s="5">
        <v>0</v>
      </c>
      <c r="I103" s="5">
        <v>1</v>
      </c>
      <c r="J103" s="18">
        <v>0</v>
      </c>
      <c r="K103" s="21">
        <f>AVERAGE(G111:J111)</f>
        <v>5</v>
      </c>
      <c r="L103" s="17">
        <v>1</v>
      </c>
      <c r="M103" s="5">
        <v>0</v>
      </c>
      <c r="N103" s="5">
        <v>0</v>
      </c>
      <c r="O103" s="18">
        <v>1</v>
      </c>
      <c r="P103" s="21">
        <f>AVERAGE(L111:O111)</f>
        <v>5.5</v>
      </c>
      <c r="Q103" s="17">
        <v>0</v>
      </c>
      <c r="R103" s="7">
        <v>0</v>
      </c>
      <c r="S103" s="7">
        <v>1</v>
      </c>
      <c r="T103" s="23">
        <v>0</v>
      </c>
      <c r="U103" s="24">
        <f>AVERAGE(Q111:T111)</f>
        <v>4.75</v>
      </c>
      <c r="V103" s="10"/>
    </row>
    <row r="104" spans="1:175" x14ac:dyDescent="0.2">
      <c r="A104" s="16">
        <v>3</v>
      </c>
      <c r="B104" s="17">
        <v>0</v>
      </c>
      <c r="C104" s="5">
        <v>1</v>
      </c>
      <c r="D104" s="5">
        <v>1</v>
      </c>
      <c r="E104" s="18">
        <v>1</v>
      </c>
      <c r="F104" s="15"/>
      <c r="G104" s="17">
        <v>0</v>
      </c>
      <c r="H104" s="5">
        <v>0</v>
      </c>
      <c r="I104" s="5">
        <v>0</v>
      </c>
      <c r="J104" s="18">
        <v>0</v>
      </c>
      <c r="K104" s="15"/>
      <c r="L104" s="17">
        <v>0</v>
      </c>
      <c r="M104" s="5">
        <v>0</v>
      </c>
      <c r="N104" s="5">
        <v>3</v>
      </c>
      <c r="O104" s="18">
        <v>0</v>
      </c>
      <c r="P104" s="15"/>
      <c r="Q104" s="22">
        <v>0</v>
      </c>
      <c r="R104" s="7">
        <v>1</v>
      </c>
      <c r="S104" s="7">
        <v>2</v>
      </c>
      <c r="T104" s="23">
        <v>0</v>
      </c>
      <c r="U104" s="18"/>
      <c r="V104" s="10"/>
    </row>
    <row r="105" spans="1:175" x14ac:dyDescent="0.2">
      <c r="A105" s="16">
        <v>4</v>
      </c>
      <c r="B105" s="17">
        <v>4</v>
      </c>
      <c r="C105" s="5">
        <v>1</v>
      </c>
      <c r="D105" s="5">
        <v>5</v>
      </c>
      <c r="E105" s="18">
        <v>11</v>
      </c>
      <c r="F105" s="19" t="s">
        <v>64</v>
      </c>
      <c r="G105" s="17">
        <v>5</v>
      </c>
      <c r="H105" s="5">
        <v>0</v>
      </c>
      <c r="I105" s="5">
        <v>4</v>
      </c>
      <c r="J105" s="18">
        <v>4</v>
      </c>
      <c r="K105" s="19" t="s">
        <v>64</v>
      </c>
      <c r="L105" s="17">
        <v>1</v>
      </c>
      <c r="M105" s="5">
        <v>1</v>
      </c>
      <c r="N105" s="5">
        <v>0</v>
      </c>
      <c r="O105" s="18">
        <v>2</v>
      </c>
      <c r="P105" s="19" t="s">
        <v>64</v>
      </c>
      <c r="Q105" s="22">
        <v>0</v>
      </c>
      <c r="R105" s="7">
        <v>0</v>
      </c>
      <c r="S105" s="7">
        <v>0</v>
      </c>
      <c r="T105" s="23">
        <v>1</v>
      </c>
      <c r="U105" s="20" t="s">
        <v>64</v>
      </c>
      <c r="V105" s="10"/>
    </row>
    <row r="106" spans="1:175" x14ac:dyDescent="0.2">
      <c r="A106" s="16">
        <v>5</v>
      </c>
      <c r="B106" s="17">
        <v>1</v>
      </c>
      <c r="C106" s="5">
        <v>2</v>
      </c>
      <c r="D106" s="5">
        <v>1</v>
      </c>
      <c r="E106" s="18">
        <v>1</v>
      </c>
      <c r="F106" s="15">
        <f>(F103*10)*1750</f>
        <v>201250</v>
      </c>
      <c r="G106" s="17">
        <v>1</v>
      </c>
      <c r="H106" s="5">
        <v>1</v>
      </c>
      <c r="I106" s="5">
        <v>1</v>
      </c>
      <c r="J106" s="18">
        <v>0</v>
      </c>
      <c r="K106" s="15">
        <f>(K103*10)*1750</f>
        <v>87500</v>
      </c>
      <c r="L106" s="17">
        <v>2</v>
      </c>
      <c r="M106" s="5">
        <v>2</v>
      </c>
      <c r="N106" s="5">
        <v>0</v>
      </c>
      <c r="O106" s="18">
        <v>1</v>
      </c>
      <c r="P106" s="15">
        <f>(P103*10)*1750</f>
        <v>96250</v>
      </c>
      <c r="Q106" s="22">
        <v>0</v>
      </c>
      <c r="R106" s="7">
        <v>2</v>
      </c>
      <c r="S106" s="7">
        <v>2</v>
      </c>
      <c r="T106" s="23">
        <v>0</v>
      </c>
      <c r="U106" s="18">
        <f>(U103*10)*1000</f>
        <v>47500</v>
      </c>
      <c r="V106" s="10"/>
    </row>
    <row r="107" spans="1:175" x14ac:dyDescent="0.2">
      <c r="A107" s="16">
        <v>6</v>
      </c>
      <c r="B107" s="17">
        <v>0</v>
      </c>
      <c r="C107" s="5">
        <v>1</v>
      </c>
      <c r="D107" s="5">
        <v>1</v>
      </c>
      <c r="E107" s="18">
        <v>1</v>
      </c>
      <c r="F107" s="15"/>
      <c r="G107" s="17">
        <v>0</v>
      </c>
      <c r="H107" s="5">
        <v>1</v>
      </c>
      <c r="I107" s="5">
        <v>0</v>
      </c>
      <c r="J107" s="18">
        <v>0</v>
      </c>
      <c r="K107" s="15"/>
      <c r="L107" s="17">
        <v>4</v>
      </c>
      <c r="M107" s="5">
        <v>0</v>
      </c>
      <c r="N107" s="5">
        <v>0</v>
      </c>
      <c r="O107" s="18">
        <v>1</v>
      </c>
      <c r="P107" s="15"/>
      <c r="Q107" s="22">
        <v>0</v>
      </c>
      <c r="R107" s="7">
        <v>0</v>
      </c>
      <c r="S107" s="7">
        <v>1</v>
      </c>
      <c r="T107" s="23">
        <v>0</v>
      </c>
      <c r="U107" s="18"/>
      <c r="V107" s="10"/>
    </row>
    <row r="108" spans="1:175" x14ac:dyDescent="0.2">
      <c r="A108" s="16">
        <v>7</v>
      </c>
      <c r="B108" s="17">
        <v>1</v>
      </c>
      <c r="C108" s="5">
        <v>0</v>
      </c>
      <c r="D108" s="5">
        <v>1</v>
      </c>
      <c r="E108" s="18">
        <v>0</v>
      </c>
      <c r="F108" s="15"/>
      <c r="G108" s="17">
        <v>0</v>
      </c>
      <c r="H108" s="5">
        <v>0</v>
      </c>
      <c r="I108" s="5">
        <v>0</v>
      </c>
      <c r="J108" s="18">
        <v>0</v>
      </c>
      <c r="K108" s="15"/>
      <c r="L108" s="17">
        <v>0</v>
      </c>
      <c r="M108" s="5">
        <v>0</v>
      </c>
      <c r="N108" s="5">
        <v>1</v>
      </c>
      <c r="O108" s="18">
        <v>0</v>
      </c>
      <c r="P108" s="15"/>
      <c r="Q108" s="22">
        <v>1</v>
      </c>
      <c r="R108" s="7">
        <v>0</v>
      </c>
      <c r="S108" s="7">
        <v>0</v>
      </c>
      <c r="T108" s="23">
        <v>2</v>
      </c>
      <c r="U108" s="18"/>
      <c r="V108" s="10"/>
    </row>
    <row r="109" spans="1:175" x14ac:dyDescent="0.2">
      <c r="A109" s="16">
        <v>8</v>
      </c>
      <c r="B109" s="17">
        <v>1</v>
      </c>
      <c r="C109" s="5">
        <v>0</v>
      </c>
      <c r="D109" s="5">
        <v>4</v>
      </c>
      <c r="E109" s="18">
        <v>2</v>
      </c>
      <c r="F109" s="15"/>
      <c r="G109" s="17">
        <v>0</v>
      </c>
      <c r="H109" s="5">
        <v>0</v>
      </c>
      <c r="I109" s="5">
        <v>1</v>
      </c>
      <c r="J109" s="18">
        <v>0</v>
      </c>
      <c r="K109" s="15"/>
      <c r="L109" s="17">
        <v>0</v>
      </c>
      <c r="M109" s="5">
        <v>0</v>
      </c>
      <c r="N109" s="5">
        <v>0</v>
      </c>
      <c r="O109" s="18">
        <v>0</v>
      </c>
      <c r="P109" s="15"/>
      <c r="Q109" s="22">
        <v>0</v>
      </c>
      <c r="R109" s="7">
        <v>2</v>
      </c>
      <c r="S109" s="7">
        <v>0</v>
      </c>
      <c r="T109" s="23">
        <v>0</v>
      </c>
      <c r="U109" s="18"/>
      <c r="V109" s="10"/>
    </row>
    <row r="110" spans="1:175" x14ac:dyDescent="0.2">
      <c r="A110" s="27"/>
      <c r="B110" s="28" t="s">
        <v>64</v>
      </c>
      <c r="C110" s="29" t="s">
        <v>64</v>
      </c>
      <c r="D110" s="29" t="s">
        <v>64</v>
      </c>
      <c r="E110" s="29" t="s">
        <v>64</v>
      </c>
      <c r="F110" s="19"/>
      <c r="G110" s="28" t="s">
        <v>64</v>
      </c>
      <c r="H110" s="29" t="s">
        <v>64</v>
      </c>
      <c r="I110" s="29" t="s">
        <v>64</v>
      </c>
      <c r="J110" s="29" t="s">
        <v>64</v>
      </c>
      <c r="K110" s="19"/>
      <c r="L110" s="28" t="s">
        <v>64</v>
      </c>
      <c r="M110" s="29" t="s">
        <v>64</v>
      </c>
      <c r="N110" s="29" t="s">
        <v>64</v>
      </c>
      <c r="O110" s="29" t="s">
        <v>64</v>
      </c>
      <c r="P110" s="19"/>
      <c r="Q110" s="28" t="s">
        <v>64</v>
      </c>
      <c r="R110" s="29" t="s">
        <v>64</v>
      </c>
      <c r="S110" s="29" t="s">
        <v>64</v>
      </c>
      <c r="T110" s="29" t="s">
        <v>64</v>
      </c>
      <c r="U110" s="20"/>
      <c r="V110" s="10"/>
    </row>
    <row r="111" spans="1:175" s="11" customFormat="1" x14ac:dyDescent="0.2">
      <c r="A111" s="30"/>
      <c r="B111" s="31">
        <f>SUM(B102:B109)</f>
        <v>11</v>
      </c>
      <c r="C111" s="32">
        <f t="shared" ref="C111:E111" si="36">SUM(C102:C109)</f>
        <v>5</v>
      </c>
      <c r="D111" s="32">
        <f t="shared" si="36"/>
        <v>13</v>
      </c>
      <c r="E111" s="32">
        <f t="shared" si="36"/>
        <v>17</v>
      </c>
      <c r="F111" s="33"/>
      <c r="G111" s="31">
        <f>SUM(G102:G109)</f>
        <v>6</v>
      </c>
      <c r="H111" s="32">
        <f t="shared" ref="H111:J111" si="37">SUM(H102:H109)</f>
        <v>2</v>
      </c>
      <c r="I111" s="32">
        <f t="shared" si="37"/>
        <v>8</v>
      </c>
      <c r="J111" s="32">
        <f t="shared" si="37"/>
        <v>4</v>
      </c>
      <c r="K111" s="33"/>
      <c r="L111" s="31">
        <f>SUM(L102:L109)</f>
        <v>9</v>
      </c>
      <c r="M111" s="32">
        <f t="shared" ref="M111:O111" si="38">SUM(M102:M109)</f>
        <v>4</v>
      </c>
      <c r="N111" s="32">
        <f t="shared" si="38"/>
        <v>4</v>
      </c>
      <c r="O111" s="32">
        <f t="shared" si="38"/>
        <v>5</v>
      </c>
      <c r="P111" s="35"/>
      <c r="Q111" s="31">
        <f>SUM(Q102:Q109)</f>
        <v>2</v>
      </c>
      <c r="R111" s="32">
        <f t="shared" ref="R111:T111" si="39">SUM(R102:R109)</f>
        <v>5</v>
      </c>
      <c r="S111" s="32">
        <f t="shared" si="39"/>
        <v>7</v>
      </c>
      <c r="T111" s="32">
        <f t="shared" si="39"/>
        <v>5</v>
      </c>
      <c r="U111" s="34"/>
      <c r="V111" s="10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</row>
    <row r="112" spans="1:175" x14ac:dyDescent="0.2">
      <c r="A112" s="12">
        <v>15</v>
      </c>
      <c r="B112" s="13" t="s">
        <v>59</v>
      </c>
      <c r="C112" s="12" t="s">
        <v>60</v>
      </c>
      <c r="D112" s="12" t="s">
        <v>61</v>
      </c>
      <c r="E112" s="14" t="s">
        <v>62</v>
      </c>
      <c r="F112" s="15"/>
      <c r="G112" s="13" t="s">
        <v>59</v>
      </c>
      <c r="H112" s="12" t="s">
        <v>60</v>
      </c>
      <c r="I112" s="12" t="s">
        <v>61</v>
      </c>
      <c r="J112" s="14" t="s">
        <v>62</v>
      </c>
      <c r="K112" s="15"/>
      <c r="L112" s="13" t="s">
        <v>59</v>
      </c>
      <c r="M112" s="12" t="s">
        <v>60</v>
      </c>
      <c r="N112" s="12" t="s">
        <v>61</v>
      </c>
      <c r="O112" s="14" t="s">
        <v>62</v>
      </c>
      <c r="P112" s="15"/>
      <c r="Q112" s="13" t="s">
        <v>59</v>
      </c>
      <c r="R112" s="12" t="s">
        <v>60</v>
      </c>
      <c r="S112" s="12" t="s">
        <v>61</v>
      </c>
      <c r="T112" s="14" t="s">
        <v>62</v>
      </c>
      <c r="U112" s="18"/>
      <c r="V112" s="10"/>
    </row>
    <row r="113" spans="1:175" x14ac:dyDescent="0.2">
      <c r="A113" s="16">
        <v>1</v>
      </c>
      <c r="B113" s="17">
        <v>1</v>
      </c>
      <c r="C113" s="5">
        <v>2</v>
      </c>
      <c r="D113" s="5">
        <v>3</v>
      </c>
      <c r="E113" s="18">
        <v>0</v>
      </c>
      <c r="F113" s="19" t="s">
        <v>63</v>
      </c>
      <c r="G113" s="17">
        <v>0</v>
      </c>
      <c r="H113" s="5">
        <v>0</v>
      </c>
      <c r="I113" s="5">
        <v>0</v>
      </c>
      <c r="J113" s="18">
        <v>0</v>
      </c>
      <c r="K113" s="19" t="s">
        <v>63</v>
      </c>
      <c r="L113" s="17">
        <v>0</v>
      </c>
      <c r="M113" s="5">
        <v>1</v>
      </c>
      <c r="N113" s="5">
        <v>2</v>
      </c>
      <c r="O113" s="18">
        <v>0</v>
      </c>
      <c r="P113" s="19" t="s">
        <v>63</v>
      </c>
      <c r="Q113" s="22">
        <v>1</v>
      </c>
      <c r="R113" s="7">
        <v>1</v>
      </c>
      <c r="S113" s="7">
        <v>0</v>
      </c>
      <c r="T113" s="23">
        <v>0</v>
      </c>
      <c r="U113" s="20" t="s">
        <v>63</v>
      </c>
      <c r="V113" s="10"/>
    </row>
    <row r="114" spans="1:175" x14ac:dyDescent="0.2">
      <c r="A114" s="16">
        <v>2</v>
      </c>
      <c r="B114" s="17">
        <v>4</v>
      </c>
      <c r="C114" s="5">
        <v>3</v>
      </c>
      <c r="D114" s="5">
        <v>0</v>
      </c>
      <c r="E114" s="18">
        <v>3</v>
      </c>
      <c r="F114" s="21">
        <f>AVERAGE(B122:E122)</f>
        <v>13.25</v>
      </c>
      <c r="G114" s="17">
        <v>0</v>
      </c>
      <c r="H114" s="5">
        <v>0</v>
      </c>
      <c r="I114" s="5">
        <v>0</v>
      </c>
      <c r="J114" s="18">
        <v>0</v>
      </c>
      <c r="K114" s="21">
        <f>AVERAGE(G122:J122)</f>
        <v>5.25</v>
      </c>
      <c r="L114" s="17">
        <v>2</v>
      </c>
      <c r="M114" s="5">
        <v>1</v>
      </c>
      <c r="N114" s="5">
        <v>1</v>
      </c>
      <c r="O114" s="18">
        <v>1</v>
      </c>
      <c r="P114" s="21">
        <f>AVERAGE(L122:O122)</f>
        <v>5.5</v>
      </c>
      <c r="Q114" s="22">
        <v>0</v>
      </c>
      <c r="R114" s="7">
        <v>0</v>
      </c>
      <c r="S114" s="7">
        <v>0</v>
      </c>
      <c r="T114" s="23">
        <v>1</v>
      </c>
      <c r="U114" s="24">
        <f>AVERAGE(Q122:T122)</f>
        <v>5.5</v>
      </c>
      <c r="V114" s="10"/>
    </row>
    <row r="115" spans="1:175" x14ac:dyDescent="0.2">
      <c r="A115" s="16">
        <v>3</v>
      </c>
      <c r="B115" s="17">
        <v>2</v>
      </c>
      <c r="C115" s="5">
        <v>1</v>
      </c>
      <c r="D115" s="5">
        <v>4</v>
      </c>
      <c r="E115" s="18">
        <v>1</v>
      </c>
      <c r="F115" s="15"/>
      <c r="G115" s="17">
        <v>1</v>
      </c>
      <c r="H115" s="5">
        <v>1</v>
      </c>
      <c r="I115" s="5">
        <v>1</v>
      </c>
      <c r="J115" s="18">
        <v>0</v>
      </c>
      <c r="K115" s="15"/>
      <c r="L115" s="17">
        <v>3</v>
      </c>
      <c r="M115" s="5">
        <v>1</v>
      </c>
      <c r="N115" s="5">
        <v>0</v>
      </c>
      <c r="O115" s="18">
        <v>0</v>
      </c>
      <c r="P115" s="15"/>
      <c r="Q115" s="22">
        <v>0</v>
      </c>
      <c r="R115" s="7">
        <v>1</v>
      </c>
      <c r="S115" s="7">
        <v>1</v>
      </c>
      <c r="T115" s="23">
        <v>2</v>
      </c>
      <c r="U115" s="18"/>
      <c r="V115" s="10"/>
    </row>
    <row r="116" spans="1:175" x14ac:dyDescent="0.2">
      <c r="A116" s="16">
        <v>4</v>
      </c>
      <c r="B116" s="17">
        <v>1</v>
      </c>
      <c r="C116" s="5">
        <v>1</v>
      </c>
      <c r="D116" s="5">
        <v>6</v>
      </c>
      <c r="E116" s="18">
        <v>0</v>
      </c>
      <c r="F116" s="19" t="s">
        <v>64</v>
      </c>
      <c r="G116" s="17">
        <v>4</v>
      </c>
      <c r="H116" s="5">
        <v>2</v>
      </c>
      <c r="I116" s="5">
        <v>5</v>
      </c>
      <c r="J116" s="18">
        <v>3</v>
      </c>
      <c r="K116" s="19" t="s">
        <v>64</v>
      </c>
      <c r="L116" s="17">
        <v>0</v>
      </c>
      <c r="M116" s="5">
        <v>1</v>
      </c>
      <c r="N116" s="5">
        <v>0</v>
      </c>
      <c r="O116" s="18">
        <v>0</v>
      </c>
      <c r="P116" s="19" t="s">
        <v>64</v>
      </c>
      <c r="Q116" s="22">
        <v>1</v>
      </c>
      <c r="R116" s="7">
        <v>1</v>
      </c>
      <c r="S116" s="7">
        <v>0</v>
      </c>
      <c r="T116" s="23">
        <v>2</v>
      </c>
      <c r="U116" s="20" t="s">
        <v>64</v>
      </c>
      <c r="V116" s="10"/>
    </row>
    <row r="117" spans="1:175" x14ac:dyDescent="0.2">
      <c r="A117" s="16">
        <v>5</v>
      </c>
      <c r="B117" s="17">
        <v>4</v>
      </c>
      <c r="C117" s="5">
        <v>0</v>
      </c>
      <c r="D117" s="5">
        <v>0</v>
      </c>
      <c r="E117" s="18">
        <v>0</v>
      </c>
      <c r="F117" s="15">
        <f>(F114*10)*1750</f>
        <v>231875</v>
      </c>
      <c r="G117" s="17">
        <v>0</v>
      </c>
      <c r="H117" s="5">
        <v>0</v>
      </c>
      <c r="I117" s="5">
        <v>1</v>
      </c>
      <c r="J117" s="18">
        <v>0</v>
      </c>
      <c r="K117" s="15">
        <f>(K114*10)*1750</f>
        <v>91875</v>
      </c>
      <c r="L117" s="17">
        <v>0</v>
      </c>
      <c r="M117" s="5">
        <v>0</v>
      </c>
      <c r="N117" s="5">
        <v>0</v>
      </c>
      <c r="O117" s="18">
        <v>0</v>
      </c>
      <c r="P117" s="15">
        <f>(P114*10)*1750</f>
        <v>96250</v>
      </c>
      <c r="Q117" s="22">
        <v>0</v>
      </c>
      <c r="R117" s="7">
        <v>1</v>
      </c>
      <c r="S117" s="7">
        <v>0</v>
      </c>
      <c r="T117" s="23">
        <v>1</v>
      </c>
      <c r="U117" s="18">
        <f>(U114*10)*1000</f>
        <v>55000</v>
      </c>
      <c r="V117" s="10"/>
    </row>
    <row r="118" spans="1:175" x14ac:dyDescent="0.2">
      <c r="A118" s="16">
        <v>6</v>
      </c>
      <c r="B118" s="17">
        <v>2</v>
      </c>
      <c r="C118" s="5">
        <v>0</v>
      </c>
      <c r="D118" s="5">
        <v>3</v>
      </c>
      <c r="E118" s="18">
        <v>1</v>
      </c>
      <c r="F118" s="15"/>
      <c r="G118" s="17">
        <v>0</v>
      </c>
      <c r="H118" s="5">
        <v>2</v>
      </c>
      <c r="I118" s="5">
        <v>0</v>
      </c>
      <c r="J118" s="18">
        <v>0</v>
      </c>
      <c r="K118" s="15"/>
      <c r="L118" s="17">
        <v>1</v>
      </c>
      <c r="M118" s="5">
        <v>1</v>
      </c>
      <c r="N118" s="5">
        <v>3</v>
      </c>
      <c r="O118" s="18">
        <v>2</v>
      </c>
      <c r="P118" s="15"/>
      <c r="Q118" s="22">
        <v>0</v>
      </c>
      <c r="R118" s="7">
        <v>1</v>
      </c>
      <c r="S118" s="7">
        <v>0</v>
      </c>
      <c r="T118" s="23">
        <v>2</v>
      </c>
      <c r="U118" s="18"/>
      <c r="V118" s="10"/>
    </row>
    <row r="119" spans="1:175" x14ac:dyDescent="0.2">
      <c r="A119" s="16">
        <v>7</v>
      </c>
      <c r="B119" s="17">
        <v>4</v>
      </c>
      <c r="C119" s="5">
        <v>0</v>
      </c>
      <c r="D119" s="5">
        <v>1</v>
      </c>
      <c r="E119" s="18">
        <v>1</v>
      </c>
      <c r="F119" s="15"/>
      <c r="G119" s="17">
        <v>0</v>
      </c>
      <c r="H119" s="5">
        <v>0</v>
      </c>
      <c r="I119" s="5">
        <v>0</v>
      </c>
      <c r="J119" s="18">
        <v>0</v>
      </c>
      <c r="K119" s="15"/>
      <c r="L119" s="17">
        <v>0</v>
      </c>
      <c r="M119" s="5">
        <v>0</v>
      </c>
      <c r="N119" s="5">
        <v>0</v>
      </c>
      <c r="O119" s="18">
        <v>1</v>
      </c>
      <c r="P119" s="15"/>
      <c r="Q119" s="22">
        <v>0</v>
      </c>
      <c r="R119" s="7">
        <v>0</v>
      </c>
      <c r="S119" s="7">
        <v>0</v>
      </c>
      <c r="T119" s="23">
        <v>2</v>
      </c>
      <c r="U119" s="18"/>
      <c r="V119" s="10"/>
    </row>
    <row r="120" spans="1:175" x14ac:dyDescent="0.2">
      <c r="A120" s="16">
        <v>8</v>
      </c>
      <c r="B120" s="17">
        <v>0</v>
      </c>
      <c r="C120" s="5">
        <v>1</v>
      </c>
      <c r="D120" s="5">
        <v>1</v>
      </c>
      <c r="E120" s="18">
        <v>3</v>
      </c>
      <c r="F120" s="15"/>
      <c r="G120" s="17">
        <v>0</v>
      </c>
      <c r="H120" s="5">
        <v>0</v>
      </c>
      <c r="I120" s="5">
        <v>1</v>
      </c>
      <c r="J120" s="18">
        <v>0</v>
      </c>
      <c r="K120" s="15"/>
      <c r="L120" s="17">
        <v>0</v>
      </c>
      <c r="M120" s="5">
        <v>1</v>
      </c>
      <c r="N120" s="5">
        <v>0</v>
      </c>
      <c r="O120" s="18">
        <v>0</v>
      </c>
      <c r="P120" s="15"/>
      <c r="Q120" s="22">
        <v>1</v>
      </c>
      <c r="R120" s="7">
        <v>0</v>
      </c>
      <c r="S120" s="7">
        <v>2</v>
      </c>
      <c r="T120" s="23">
        <v>1</v>
      </c>
      <c r="U120" s="18"/>
      <c r="V120" s="10"/>
    </row>
    <row r="121" spans="1:175" x14ac:dyDescent="0.2">
      <c r="A121" s="27"/>
      <c r="B121" s="28" t="s">
        <v>64</v>
      </c>
      <c r="C121" s="29" t="s">
        <v>64</v>
      </c>
      <c r="D121" s="29" t="s">
        <v>64</v>
      </c>
      <c r="E121" s="29" t="s">
        <v>64</v>
      </c>
      <c r="F121" s="19"/>
      <c r="G121" s="28" t="s">
        <v>64</v>
      </c>
      <c r="H121" s="29" t="s">
        <v>64</v>
      </c>
      <c r="I121" s="29" t="s">
        <v>64</v>
      </c>
      <c r="J121" s="29" t="s">
        <v>64</v>
      </c>
      <c r="K121" s="19"/>
      <c r="L121" s="28" t="s">
        <v>64</v>
      </c>
      <c r="M121" s="29" t="s">
        <v>64</v>
      </c>
      <c r="N121" s="29" t="s">
        <v>64</v>
      </c>
      <c r="O121" s="29" t="s">
        <v>64</v>
      </c>
      <c r="P121" s="19"/>
      <c r="Q121" s="28" t="s">
        <v>64</v>
      </c>
      <c r="R121" s="29" t="s">
        <v>64</v>
      </c>
      <c r="S121" s="29" t="s">
        <v>64</v>
      </c>
      <c r="T121" s="29" t="s">
        <v>64</v>
      </c>
      <c r="U121" s="20"/>
      <c r="V121" s="10"/>
    </row>
    <row r="122" spans="1:175" s="11" customFormat="1" x14ac:dyDescent="0.2">
      <c r="A122" s="30"/>
      <c r="B122" s="31">
        <f>SUM(B113:B120)</f>
        <v>18</v>
      </c>
      <c r="C122" s="32">
        <f t="shared" ref="C122:E122" si="40">SUM(C113:C120)</f>
        <v>8</v>
      </c>
      <c r="D122" s="32">
        <f t="shared" si="40"/>
        <v>18</v>
      </c>
      <c r="E122" s="32">
        <f t="shared" si="40"/>
        <v>9</v>
      </c>
      <c r="F122" s="33"/>
      <c r="G122" s="31">
        <f>SUM(G113:G120)</f>
        <v>5</v>
      </c>
      <c r="H122" s="32">
        <f t="shared" ref="H122:J122" si="41">SUM(H113:H120)</f>
        <v>5</v>
      </c>
      <c r="I122" s="32">
        <f t="shared" si="41"/>
        <v>8</v>
      </c>
      <c r="J122" s="32">
        <f t="shared" si="41"/>
        <v>3</v>
      </c>
      <c r="K122" s="33"/>
      <c r="L122" s="31">
        <f>SUM(L113:L120)</f>
        <v>6</v>
      </c>
      <c r="M122" s="32">
        <f t="shared" ref="M122:O122" si="42">SUM(M113:M120)</f>
        <v>6</v>
      </c>
      <c r="N122" s="32">
        <f t="shared" si="42"/>
        <v>6</v>
      </c>
      <c r="O122" s="32">
        <f t="shared" si="42"/>
        <v>4</v>
      </c>
      <c r="P122" s="35"/>
      <c r="Q122" s="31">
        <f>SUM(Q113:Q120)</f>
        <v>3</v>
      </c>
      <c r="R122" s="32">
        <f t="shared" ref="R122:T122" si="43">SUM(R113:R120)</f>
        <v>5</v>
      </c>
      <c r="S122" s="32">
        <f t="shared" si="43"/>
        <v>3</v>
      </c>
      <c r="T122" s="32">
        <f t="shared" si="43"/>
        <v>11</v>
      </c>
      <c r="U122" s="34"/>
      <c r="V122" s="10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</row>
    <row r="123" spans="1:175" x14ac:dyDescent="0.2">
      <c r="A123" s="12">
        <v>16</v>
      </c>
      <c r="B123" s="13" t="s">
        <v>59</v>
      </c>
      <c r="C123" s="12" t="s">
        <v>60</v>
      </c>
      <c r="D123" s="12" t="s">
        <v>61</v>
      </c>
      <c r="E123" s="14" t="s">
        <v>62</v>
      </c>
      <c r="F123" s="15"/>
      <c r="G123" s="13" t="s">
        <v>59</v>
      </c>
      <c r="H123" s="12" t="s">
        <v>60</v>
      </c>
      <c r="I123" s="12" t="s">
        <v>61</v>
      </c>
      <c r="J123" s="14" t="s">
        <v>62</v>
      </c>
      <c r="K123" s="15"/>
      <c r="L123" s="13" t="s">
        <v>59</v>
      </c>
      <c r="M123" s="12" t="s">
        <v>60</v>
      </c>
      <c r="N123" s="12" t="s">
        <v>61</v>
      </c>
      <c r="O123" s="14" t="s">
        <v>62</v>
      </c>
      <c r="P123" s="15"/>
      <c r="Q123" s="13" t="s">
        <v>59</v>
      </c>
      <c r="R123" s="12" t="s">
        <v>60</v>
      </c>
      <c r="S123" s="12" t="s">
        <v>61</v>
      </c>
      <c r="T123" s="14" t="s">
        <v>62</v>
      </c>
      <c r="U123" s="18"/>
      <c r="V123" s="10"/>
    </row>
    <row r="124" spans="1:175" x14ac:dyDescent="0.2">
      <c r="A124" s="16">
        <v>1</v>
      </c>
      <c r="B124" s="17">
        <v>2</v>
      </c>
      <c r="C124" s="5">
        <v>3</v>
      </c>
      <c r="D124" s="5">
        <v>0</v>
      </c>
      <c r="E124" s="18">
        <v>0</v>
      </c>
      <c r="F124" s="19" t="s">
        <v>63</v>
      </c>
      <c r="G124" s="17">
        <v>0</v>
      </c>
      <c r="H124" s="5">
        <v>0</v>
      </c>
      <c r="I124" s="5">
        <v>0</v>
      </c>
      <c r="J124" s="18">
        <v>0</v>
      </c>
      <c r="K124" s="19" t="s">
        <v>63</v>
      </c>
      <c r="L124" s="17">
        <v>1</v>
      </c>
      <c r="M124" s="5">
        <v>0</v>
      </c>
      <c r="N124" s="5">
        <v>1</v>
      </c>
      <c r="O124" s="18">
        <v>0</v>
      </c>
      <c r="P124" s="19" t="s">
        <v>63</v>
      </c>
      <c r="Q124" s="22">
        <v>0</v>
      </c>
      <c r="R124" s="7">
        <v>0</v>
      </c>
      <c r="S124" s="7">
        <v>0</v>
      </c>
      <c r="T124" s="23">
        <v>0</v>
      </c>
      <c r="U124" s="20" t="s">
        <v>63</v>
      </c>
      <c r="V124" s="10"/>
    </row>
    <row r="125" spans="1:175" x14ac:dyDescent="0.2">
      <c r="A125" s="16">
        <v>2</v>
      </c>
      <c r="B125" s="17">
        <v>0</v>
      </c>
      <c r="C125" s="5">
        <v>3</v>
      </c>
      <c r="D125" s="5">
        <v>1</v>
      </c>
      <c r="E125" s="18">
        <v>0</v>
      </c>
      <c r="F125" s="21">
        <f>AVERAGE(B133:E133)</f>
        <v>11.75</v>
      </c>
      <c r="G125" s="17">
        <v>0</v>
      </c>
      <c r="H125" s="5">
        <v>0</v>
      </c>
      <c r="I125" s="5">
        <v>0</v>
      </c>
      <c r="J125" s="18">
        <v>0</v>
      </c>
      <c r="K125" s="21">
        <f>AVERAGE(G133:J133)</f>
        <v>4.5</v>
      </c>
      <c r="L125" s="17">
        <v>0</v>
      </c>
      <c r="M125" s="5">
        <v>0</v>
      </c>
      <c r="N125" s="5">
        <v>1</v>
      </c>
      <c r="O125" s="18">
        <v>0</v>
      </c>
      <c r="P125" s="21">
        <f>AVERAGE(L133:O133)</f>
        <v>3</v>
      </c>
      <c r="Q125" s="22">
        <v>0</v>
      </c>
      <c r="R125" s="7">
        <v>0</v>
      </c>
      <c r="S125" s="7">
        <v>0</v>
      </c>
      <c r="T125" s="23">
        <v>0</v>
      </c>
      <c r="U125" s="24">
        <f>AVERAGE(Q133:T133)</f>
        <v>1.5</v>
      </c>
      <c r="V125" s="10"/>
    </row>
    <row r="126" spans="1:175" x14ac:dyDescent="0.2">
      <c r="A126" s="16">
        <v>3</v>
      </c>
      <c r="B126" s="17">
        <v>2</v>
      </c>
      <c r="C126" s="5">
        <v>3</v>
      </c>
      <c r="D126" s="5">
        <v>3</v>
      </c>
      <c r="E126" s="18">
        <v>3</v>
      </c>
      <c r="F126" s="15"/>
      <c r="G126" s="17">
        <v>0</v>
      </c>
      <c r="H126" s="5">
        <v>0</v>
      </c>
      <c r="I126" s="5">
        <v>0</v>
      </c>
      <c r="J126" s="18">
        <v>0</v>
      </c>
      <c r="K126" s="15"/>
      <c r="L126" s="17">
        <v>0</v>
      </c>
      <c r="M126" s="5">
        <v>0</v>
      </c>
      <c r="N126" s="5">
        <v>0</v>
      </c>
      <c r="O126" s="18">
        <v>0</v>
      </c>
      <c r="P126" s="15"/>
      <c r="Q126" s="22">
        <v>0</v>
      </c>
      <c r="R126" s="7">
        <v>1</v>
      </c>
      <c r="S126" s="7">
        <v>0</v>
      </c>
      <c r="T126" s="23">
        <v>0</v>
      </c>
      <c r="U126" s="18"/>
      <c r="V126" s="10"/>
    </row>
    <row r="127" spans="1:175" x14ac:dyDescent="0.2">
      <c r="A127" s="16">
        <v>4</v>
      </c>
      <c r="B127" s="17">
        <v>1</v>
      </c>
      <c r="C127" s="5">
        <v>2</v>
      </c>
      <c r="D127" s="5">
        <v>2</v>
      </c>
      <c r="E127" s="18">
        <v>4</v>
      </c>
      <c r="F127" s="19" t="s">
        <v>64</v>
      </c>
      <c r="G127" s="17">
        <v>1</v>
      </c>
      <c r="H127" s="5">
        <v>5</v>
      </c>
      <c r="I127" s="5">
        <v>1</v>
      </c>
      <c r="J127" s="18">
        <v>2</v>
      </c>
      <c r="K127" s="19" t="s">
        <v>64</v>
      </c>
      <c r="L127" s="17">
        <v>0</v>
      </c>
      <c r="M127" s="5">
        <v>1</v>
      </c>
      <c r="N127" s="5">
        <v>0</v>
      </c>
      <c r="O127" s="18">
        <v>0</v>
      </c>
      <c r="P127" s="19" t="s">
        <v>64</v>
      </c>
      <c r="Q127" s="22">
        <v>0</v>
      </c>
      <c r="R127" s="7">
        <v>1</v>
      </c>
      <c r="S127" s="7">
        <v>0</v>
      </c>
      <c r="T127" s="23">
        <v>0</v>
      </c>
      <c r="U127" s="20" t="s">
        <v>64</v>
      </c>
      <c r="V127" s="10"/>
    </row>
    <row r="128" spans="1:175" x14ac:dyDescent="0.2">
      <c r="A128" s="16">
        <v>5</v>
      </c>
      <c r="B128" s="17">
        <v>1</v>
      </c>
      <c r="C128" s="5">
        <v>2</v>
      </c>
      <c r="D128" s="5">
        <v>2</v>
      </c>
      <c r="E128" s="18">
        <v>2</v>
      </c>
      <c r="F128" s="15">
        <f>(F125*10)*1750</f>
        <v>205625</v>
      </c>
      <c r="G128" s="17">
        <v>0</v>
      </c>
      <c r="H128" s="5">
        <v>0</v>
      </c>
      <c r="I128" s="5">
        <v>1</v>
      </c>
      <c r="J128" s="18">
        <v>1</v>
      </c>
      <c r="K128" s="15">
        <f>(K125*10)*1750</f>
        <v>78750</v>
      </c>
      <c r="L128" s="17">
        <v>0</v>
      </c>
      <c r="M128" s="5">
        <v>2</v>
      </c>
      <c r="N128" s="5">
        <v>0</v>
      </c>
      <c r="O128" s="18">
        <v>1</v>
      </c>
      <c r="P128" s="15">
        <f>(P125*10)*1750</f>
        <v>52500</v>
      </c>
      <c r="Q128" s="22">
        <v>1</v>
      </c>
      <c r="R128" s="7">
        <v>1</v>
      </c>
      <c r="S128" s="7">
        <v>0</v>
      </c>
      <c r="T128" s="23">
        <v>0</v>
      </c>
      <c r="U128" s="18">
        <f>(U125*10)*1000</f>
        <v>15000</v>
      </c>
      <c r="V128" s="10"/>
    </row>
    <row r="129" spans="1:175" x14ac:dyDescent="0.2">
      <c r="A129" s="16">
        <v>6</v>
      </c>
      <c r="B129" s="17">
        <v>1</v>
      </c>
      <c r="C129" s="5">
        <v>0</v>
      </c>
      <c r="D129" s="5">
        <v>1</v>
      </c>
      <c r="E129" s="18">
        <v>1</v>
      </c>
      <c r="F129" s="15"/>
      <c r="G129" s="17">
        <v>2</v>
      </c>
      <c r="H129" s="5">
        <v>0</v>
      </c>
      <c r="I129" s="5">
        <v>0</v>
      </c>
      <c r="J129" s="18">
        <v>0</v>
      </c>
      <c r="K129" s="15"/>
      <c r="L129" s="17">
        <v>3</v>
      </c>
      <c r="M129" s="5">
        <v>0</v>
      </c>
      <c r="N129" s="5">
        <v>0</v>
      </c>
      <c r="O129" s="18">
        <v>0</v>
      </c>
      <c r="P129" s="15"/>
      <c r="Q129" s="22">
        <v>0</v>
      </c>
      <c r="R129" s="7">
        <v>1</v>
      </c>
      <c r="S129" s="7">
        <v>1</v>
      </c>
      <c r="T129" s="23">
        <v>0</v>
      </c>
      <c r="U129" s="18"/>
      <c r="V129" s="10"/>
    </row>
    <row r="130" spans="1:175" x14ac:dyDescent="0.2">
      <c r="A130" s="16">
        <v>7</v>
      </c>
      <c r="B130" s="17">
        <v>0</v>
      </c>
      <c r="C130" s="5">
        <v>0</v>
      </c>
      <c r="D130" s="5">
        <v>0</v>
      </c>
      <c r="E130" s="18">
        <v>0</v>
      </c>
      <c r="F130" s="15"/>
      <c r="G130" s="17">
        <v>1</v>
      </c>
      <c r="H130" s="5">
        <v>1</v>
      </c>
      <c r="I130" s="5">
        <v>0</v>
      </c>
      <c r="J130" s="18">
        <v>0</v>
      </c>
      <c r="K130" s="15"/>
      <c r="L130" s="17">
        <v>0</v>
      </c>
      <c r="M130" s="5">
        <v>0</v>
      </c>
      <c r="N130" s="5">
        <v>0</v>
      </c>
      <c r="O130" s="18">
        <v>1</v>
      </c>
      <c r="P130" s="15"/>
      <c r="Q130" s="22">
        <v>0</v>
      </c>
      <c r="R130" s="7">
        <v>0</v>
      </c>
      <c r="S130" s="7">
        <v>0</v>
      </c>
      <c r="T130" s="23">
        <v>0</v>
      </c>
      <c r="U130" s="18"/>
      <c r="V130" s="10"/>
    </row>
    <row r="131" spans="1:175" x14ac:dyDescent="0.2">
      <c r="A131" s="16">
        <v>8</v>
      </c>
      <c r="B131" s="17">
        <v>1</v>
      </c>
      <c r="C131" s="5">
        <v>1</v>
      </c>
      <c r="D131" s="5">
        <v>3</v>
      </c>
      <c r="E131" s="18">
        <v>3</v>
      </c>
      <c r="F131" s="15"/>
      <c r="G131" s="17">
        <v>1</v>
      </c>
      <c r="H131" s="5">
        <v>0</v>
      </c>
      <c r="I131" s="5">
        <v>1</v>
      </c>
      <c r="J131" s="18">
        <v>1</v>
      </c>
      <c r="K131" s="15"/>
      <c r="L131" s="17">
        <v>1</v>
      </c>
      <c r="M131" s="5">
        <v>0</v>
      </c>
      <c r="N131" s="5">
        <v>0</v>
      </c>
      <c r="O131" s="18">
        <v>0</v>
      </c>
      <c r="P131" s="15"/>
      <c r="Q131" s="22">
        <v>0</v>
      </c>
      <c r="R131" s="7">
        <v>0</v>
      </c>
      <c r="S131" s="7">
        <v>0</v>
      </c>
      <c r="T131" s="23">
        <v>0</v>
      </c>
      <c r="U131" s="18"/>
      <c r="V131" s="10"/>
    </row>
    <row r="132" spans="1:175" x14ac:dyDescent="0.2">
      <c r="A132" s="27"/>
      <c r="B132" s="28" t="s">
        <v>64</v>
      </c>
      <c r="C132" s="29" t="s">
        <v>64</v>
      </c>
      <c r="D132" s="29" t="s">
        <v>64</v>
      </c>
      <c r="E132" s="29" t="s">
        <v>64</v>
      </c>
      <c r="F132" s="19"/>
      <c r="G132" s="28" t="s">
        <v>64</v>
      </c>
      <c r="H132" s="29" t="s">
        <v>64</v>
      </c>
      <c r="I132" s="29" t="s">
        <v>64</v>
      </c>
      <c r="J132" s="29" t="s">
        <v>64</v>
      </c>
      <c r="K132" s="19"/>
      <c r="L132" s="28" t="s">
        <v>64</v>
      </c>
      <c r="M132" s="29" t="s">
        <v>64</v>
      </c>
      <c r="N132" s="29" t="s">
        <v>64</v>
      </c>
      <c r="O132" s="29" t="s">
        <v>64</v>
      </c>
      <c r="P132" s="19"/>
      <c r="Q132" s="28" t="s">
        <v>64</v>
      </c>
      <c r="R132" s="29" t="s">
        <v>64</v>
      </c>
      <c r="S132" s="29" t="s">
        <v>64</v>
      </c>
      <c r="T132" s="29" t="s">
        <v>64</v>
      </c>
      <c r="U132" s="20"/>
      <c r="V132" s="10"/>
    </row>
    <row r="133" spans="1:175" s="11" customFormat="1" x14ac:dyDescent="0.2">
      <c r="A133" s="30"/>
      <c r="B133" s="31">
        <f>SUM(B124:B131)</f>
        <v>8</v>
      </c>
      <c r="C133" s="32">
        <f t="shared" ref="C133:E133" si="44">SUM(C124:C131)</f>
        <v>14</v>
      </c>
      <c r="D133" s="32">
        <f t="shared" si="44"/>
        <v>12</v>
      </c>
      <c r="E133" s="32">
        <f t="shared" si="44"/>
        <v>13</v>
      </c>
      <c r="F133" s="33"/>
      <c r="G133" s="31">
        <f>SUM(G124:G131)</f>
        <v>5</v>
      </c>
      <c r="H133" s="32">
        <f t="shared" ref="H133:J133" si="45">SUM(H124:H131)</f>
        <v>6</v>
      </c>
      <c r="I133" s="32">
        <f t="shared" si="45"/>
        <v>3</v>
      </c>
      <c r="J133" s="32">
        <f t="shared" si="45"/>
        <v>4</v>
      </c>
      <c r="K133" s="33"/>
      <c r="L133" s="31">
        <f>SUM(L124:L131)</f>
        <v>5</v>
      </c>
      <c r="M133" s="32">
        <f t="shared" ref="M133:O133" si="46">SUM(M124:M131)</f>
        <v>3</v>
      </c>
      <c r="N133" s="32">
        <f t="shared" si="46"/>
        <v>2</v>
      </c>
      <c r="O133" s="32">
        <f t="shared" si="46"/>
        <v>2</v>
      </c>
      <c r="P133" s="35"/>
      <c r="Q133" s="31">
        <f>SUM(Q124:Q131)</f>
        <v>1</v>
      </c>
      <c r="R133" s="32">
        <f t="shared" ref="R133:T133" si="47">SUM(R124:R131)</f>
        <v>4</v>
      </c>
      <c r="S133" s="32">
        <f t="shared" si="47"/>
        <v>1</v>
      </c>
      <c r="T133" s="32">
        <f t="shared" si="47"/>
        <v>0</v>
      </c>
      <c r="U133" s="34"/>
      <c r="V133" s="10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</row>
    <row r="134" spans="1:175" x14ac:dyDescent="0.2">
      <c r="A134" s="12">
        <v>17</v>
      </c>
      <c r="B134" s="13" t="s">
        <v>59</v>
      </c>
      <c r="C134" s="12" t="s">
        <v>60</v>
      </c>
      <c r="D134" s="12" t="s">
        <v>61</v>
      </c>
      <c r="E134" s="14" t="s">
        <v>62</v>
      </c>
      <c r="F134" s="15"/>
      <c r="G134" s="13" t="s">
        <v>59</v>
      </c>
      <c r="H134" s="12" t="s">
        <v>60</v>
      </c>
      <c r="I134" s="12" t="s">
        <v>61</v>
      </c>
      <c r="J134" s="14" t="s">
        <v>62</v>
      </c>
      <c r="K134" s="15"/>
      <c r="L134" s="13" t="s">
        <v>59</v>
      </c>
      <c r="M134" s="12" t="s">
        <v>60</v>
      </c>
      <c r="N134" s="12" t="s">
        <v>61</v>
      </c>
      <c r="O134" s="14" t="s">
        <v>62</v>
      </c>
      <c r="P134" s="15"/>
      <c r="Q134" s="13" t="s">
        <v>59</v>
      </c>
      <c r="R134" s="12" t="s">
        <v>60</v>
      </c>
      <c r="S134" s="12" t="s">
        <v>61</v>
      </c>
      <c r="T134" s="14" t="s">
        <v>62</v>
      </c>
      <c r="U134" s="18"/>
      <c r="V134" s="10"/>
    </row>
    <row r="135" spans="1:175" x14ac:dyDescent="0.2">
      <c r="A135" s="16">
        <v>1</v>
      </c>
      <c r="B135" s="17">
        <v>2</v>
      </c>
      <c r="C135" s="5">
        <v>2</v>
      </c>
      <c r="D135" s="5">
        <v>2</v>
      </c>
      <c r="E135" s="18">
        <v>4</v>
      </c>
      <c r="F135" s="19" t="s">
        <v>63</v>
      </c>
      <c r="G135" s="17">
        <v>0</v>
      </c>
      <c r="H135" s="5">
        <v>0</v>
      </c>
      <c r="I135" s="5">
        <v>0</v>
      </c>
      <c r="J135" s="18">
        <v>1</v>
      </c>
      <c r="K135" s="19" t="s">
        <v>63</v>
      </c>
      <c r="L135" s="17">
        <v>0</v>
      </c>
      <c r="M135" s="5">
        <v>0</v>
      </c>
      <c r="N135" s="5">
        <v>1</v>
      </c>
      <c r="O135" s="18">
        <v>1</v>
      </c>
      <c r="P135" s="19" t="s">
        <v>63</v>
      </c>
      <c r="Q135" s="22">
        <v>0</v>
      </c>
      <c r="R135" s="7">
        <v>1</v>
      </c>
      <c r="S135" s="7" t="s">
        <v>68</v>
      </c>
      <c r="T135" s="7" t="s">
        <v>68</v>
      </c>
      <c r="U135" s="20" t="s">
        <v>63</v>
      </c>
      <c r="V135" s="10"/>
    </row>
    <row r="136" spans="1:175" x14ac:dyDescent="0.2">
      <c r="A136" s="16">
        <v>2</v>
      </c>
      <c r="B136" s="17">
        <v>5</v>
      </c>
      <c r="C136" s="5">
        <v>4</v>
      </c>
      <c r="D136" s="5">
        <v>1</v>
      </c>
      <c r="E136" s="18">
        <v>2</v>
      </c>
      <c r="F136" s="21">
        <f>AVERAGE(B144:E144)</f>
        <v>15.75</v>
      </c>
      <c r="G136" s="17">
        <v>1</v>
      </c>
      <c r="H136" s="5">
        <v>1</v>
      </c>
      <c r="I136" s="5">
        <v>0</v>
      </c>
      <c r="J136" s="18">
        <v>1</v>
      </c>
      <c r="K136" s="21">
        <f>AVERAGE(G144:J144)</f>
        <v>9</v>
      </c>
      <c r="L136" s="17">
        <v>1</v>
      </c>
      <c r="M136" s="5">
        <v>0</v>
      </c>
      <c r="N136" s="5">
        <v>0</v>
      </c>
      <c r="O136" s="18">
        <v>3</v>
      </c>
      <c r="P136" s="21">
        <f>AVERAGE(L144:O144)</f>
        <v>6.5</v>
      </c>
      <c r="Q136" s="22">
        <v>1</v>
      </c>
      <c r="R136" s="7">
        <v>0</v>
      </c>
      <c r="S136" s="7" t="s">
        <v>68</v>
      </c>
      <c r="T136" s="7" t="s">
        <v>68</v>
      </c>
      <c r="U136" s="24">
        <f>AVERAGE(Q144:R144)</f>
        <v>9</v>
      </c>
      <c r="V136" s="10"/>
    </row>
    <row r="137" spans="1:175" x14ac:dyDescent="0.2">
      <c r="A137" s="16">
        <v>3</v>
      </c>
      <c r="B137" s="17">
        <v>1</v>
      </c>
      <c r="C137" s="5">
        <v>1</v>
      </c>
      <c r="D137" s="5">
        <v>3</v>
      </c>
      <c r="E137" s="18">
        <v>1</v>
      </c>
      <c r="F137" s="15"/>
      <c r="G137" s="17">
        <v>1</v>
      </c>
      <c r="H137" s="5">
        <v>0</v>
      </c>
      <c r="I137" s="5">
        <v>0</v>
      </c>
      <c r="J137" s="18">
        <v>2</v>
      </c>
      <c r="K137" s="15"/>
      <c r="L137" s="17">
        <v>1</v>
      </c>
      <c r="M137" s="5">
        <v>0</v>
      </c>
      <c r="N137" s="5">
        <v>0</v>
      </c>
      <c r="O137" s="18">
        <v>0</v>
      </c>
      <c r="P137" s="15"/>
      <c r="Q137" s="22">
        <v>1</v>
      </c>
      <c r="R137" s="7">
        <v>1</v>
      </c>
      <c r="S137" s="7" t="s">
        <v>68</v>
      </c>
      <c r="T137" s="7" t="s">
        <v>68</v>
      </c>
      <c r="U137" s="18"/>
      <c r="V137" s="10"/>
    </row>
    <row r="138" spans="1:175" x14ac:dyDescent="0.2">
      <c r="A138" s="16">
        <v>4</v>
      </c>
      <c r="B138" s="17">
        <v>1</v>
      </c>
      <c r="C138" s="5">
        <v>1</v>
      </c>
      <c r="D138" s="5">
        <v>0</v>
      </c>
      <c r="E138" s="18">
        <v>2</v>
      </c>
      <c r="F138" s="19" t="s">
        <v>64</v>
      </c>
      <c r="G138" s="17">
        <v>5</v>
      </c>
      <c r="H138" s="5">
        <v>3</v>
      </c>
      <c r="I138" s="5">
        <v>5</v>
      </c>
      <c r="J138" s="18">
        <v>1</v>
      </c>
      <c r="K138" s="19" t="s">
        <v>64</v>
      </c>
      <c r="L138" s="17">
        <v>2</v>
      </c>
      <c r="M138" s="5">
        <v>1</v>
      </c>
      <c r="N138" s="5">
        <v>2</v>
      </c>
      <c r="O138" s="18">
        <v>1</v>
      </c>
      <c r="P138" s="19" t="s">
        <v>64</v>
      </c>
      <c r="Q138" s="22">
        <v>1</v>
      </c>
      <c r="R138" s="7">
        <v>2</v>
      </c>
      <c r="S138" s="7" t="s">
        <v>68</v>
      </c>
      <c r="T138" s="7" t="s">
        <v>68</v>
      </c>
      <c r="U138" s="20" t="s">
        <v>64</v>
      </c>
      <c r="V138" s="10"/>
    </row>
    <row r="139" spans="1:175" x14ac:dyDescent="0.2">
      <c r="A139" s="16">
        <v>5</v>
      </c>
      <c r="B139" s="17">
        <v>0</v>
      </c>
      <c r="C139" s="5">
        <v>1</v>
      </c>
      <c r="D139" s="5">
        <v>3</v>
      </c>
      <c r="E139" s="18">
        <v>0</v>
      </c>
      <c r="F139" s="15">
        <f>(F136*10)*1750</f>
        <v>275625</v>
      </c>
      <c r="G139" s="17">
        <v>1</v>
      </c>
      <c r="H139" s="5">
        <v>0</v>
      </c>
      <c r="I139" s="5">
        <v>2</v>
      </c>
      <c r="J139" s="18">
        <v>1</v>
      </c>
      <c r="K139" s="15">
        <f>(K136*10)*1750</f>
        <v>157500</v>
      </c>
      <c r="L139" s="17">
        <v>1</v>
      </c>
      <c r="M139" s="5">
        <v>3</v>
      </c>
      <c r="N139" s="5">
        <v>0</v>
      </c>
      <c r="O139" s="18">
        <v>0</v>
      </c>
      <c r="P139" s="15">
        <f>(P136*10)*1750</f>
        <v>113750</v>
      </c>
      <c r="Q139" s="22">
        <v>0</v>
      </c>
      <c r="R139" s="7">
        <v>1</v>
      </c>
      <c r="S139" s="7" t="s">
        <v>68</v>
      </c>
      <c r="T139" s="7" t="s">
        <v>68</v>
      </c>
      <c r="U139" s="18">
        <f>(U136*10)*1000</f>
        <v>90000</v>
      </c>
      <c r="V139" s="10"/>
    </row>
    <row r="140" spans="1:175" x14ac:dyDescent="0.2">
      <c r="A140" s="16">
        <v>6</v>
      </c>
      <c r="B140" s="17">
        <v>1</v>
      </c>
      <c r="C140" s="5">
        <v>5</v>
      </c>
      <c r="D140" s="5">
        <v>3</v>
      </c>
      <c r="E140" s="18">
        <v>1</v>
      </c>
      <c r="F140" s="15"/>
      <c r="G140" s="17">
        <v>0</v>
      </c>
      <c r="H140" s="5">
        <v>1</v>
      </c>
      <c r="I140" s="5">
        <v>2</v>
      </c>
      <c r="J140" s="18">
        <v>2</v>
      </c>
      <c r="K140" s="15"/>
      <c r="L140" s="17">
        <v>0</v>
      </c>
      <c r="M140" s="5">
        <v>0</v>
      </c>
      <c r="N140" s="5">
        <v>1</v>
      </c>
      <c r="O140" s="18">
        <v>0</v>
      </c>
      <c r="P140" s="15"/>
      <c r="Q140" s="22">
        <v>3</v>
      </c>
      <c r="R140" s="7">
        <v>2</v>
      </c>
      <c r="S140" s="7" t="s">
        <v>68</v>
      </c>
      <c r="T140" s="7" t="s">
        <v>68</v>
      </c>
      <c r="U140" s="18"/>
      <c r="V140" s="10"/>
    </row>
    <row r="141" spans="1:175" x14ac:dyDescent="0.2">
      <c r="A141" s="16">
        <v>7</v>
      </c>
      <c r="B141" s="17">
        <v>1</v>
      </c>
      <c r="C141" s="5">
        <v>1</v>
      </c>
      <c r="D141" s="5">
        <v>1</v>
      </c>
      <c r="E141" s="18">
        <v>1</v>
      </c>
      <c r="F141" s="15"/>
      <c r="G141" s="17">
        <v>1</v>
      </c>
      <c r="H141" s="5">
        <v>1</v>
      </c>
      <c r="I141" s="5">
        <v>0</v>
      </c>
      <c r="J141" s="18">
        <v>0</v>
      </c>
      <c r="K141" s="15"/>
      <c r="L141" s="17">
        <v>1</v>
      </c>
      <c r="M141" s="5">
        <v>3</v>
      </c>
      <c r="N141" s="5">
        <v>2</v>
      </c>
      <c r="O141" s="18">
        <v>0</v>
      </c>
      <c r="P141" s="15"/>
      <c r="Q141" s="22">
        <v>1</v>
      </c>
      <c r="R141" s="7">
        <v>1</v>
      </c>
      <c r="S141" s="7" t="s">
        <v>68</v>
      </c>
      <c r="T141" s="7" t="s">
        <v>68</v>
      </c>
      <c r="U141" s="18"/>
      <c r="V141" s="10"/>
    </row>
    <row r="142" spans="1:175" x14ac:dyDescent="0.2">
      <c r="A142" s="16">
        <v>8</v>
      </c>
      <c r="B142" s="17">
        <v>2</v>
      </c>
      <c r="C142" s="5">
        <v>5</v>
      </c>
      <c r="D142" s="5">
        <v>4</v>
      </c>
      <c r="E142" s="18">
        <v>2</v>
      </c>
      <c r="F142" s="15"/>
      <c r="G142" s="17">
        <v>0</v>
      </c>
      <c r="H142" s="5">
        <v>3</v>
      </c>
      <c r="I142" s="5">
        <v>1</v>
      </c>
      <c r="J142" s="18">
        <v>0</v>
      </c>
      <c r="K142" s="15"/>
      <c r="L142" s="17">
        <v>2</v>
      </c>
      <c r="M142" s="5">
        <v>0</v>
      </c>
      <c r="N142" s="5">
        <v>0</v>
      </c>
      <c r="O142" s="18">
        <v>0</v>
      </c>
      <c r="P142" s="15"/>
      <c r="Q142" s="22">
        <v>1</v>
      </c>
      <c r="R142" s="7">
        <v>2</v>
      </c>
      <c r="S142" s="7" t="s">
        <v>68</v>
      </c>
      <c r="T142" s="7" t="s">
        <v>68</v>
      </c>
      <c r="U142" s="18"/>
      <c r="V142" s="10"/>
    </row>
    <row r="143" spans="1:175" x14ac:dyDescent="0.2">
      <c r="A143" s="27"/>
      <c r="B143" s="28" t="s">
        <v>64</v>
      </c>
      <c r="C143" s="29" t="s">
        <v>64</v>
      </c>
      <c r="D143" s="29" t="s">
        <v>64</v>
      </c>
      <c r="E143" s="29" t="s">
        <v>64</v>
      </c>
      <c r="F143" s="19"/>
      <c r="G143" s="28" t="s">
        <v>64</v>
      </c>
      <c r="H143" s="29" t="s">
        <v>64</v>
      </c>
      <c r="I143" s="29" t="s">
        <v>64</v>
      </c>
      <c r="J143" s="29" t="s">
        <v>64</v>
      </c>
      <c r="K143" s="19"/>
      <c r="L143" s="28" t="s">
        <v>64</v>
      </c>
      <c r="M143" s="29" t="s">
        <v>64</v>
      </c>
      <c r="N143" s="29" t="s">
        <v>64</v>
      </c>
      <c r="O143" s="29" t="s">
        <v>64</v>
      </c>
      <c r="P143" s="19"/>
      <c r="Q143" s="28" t="s">
        <v>64</v>
      </c>
      <c r="R143" s="29" t="s">
        <v>64</v>
      </c>
      <c r="S143" s="29" t="s">
        <v>64</v>
      </c>
      <c r="T143" s="29" t="s">
        <v>64</v>
      </c>
      <c r="U143" s="20"/>
      <c r="V143" s="10"/>
    </row>
    <row r="144" spans="1:175" s="11" customFormat="1" x14ac:dyDescent="0.2">
      <c r="A144" s="30"/>
      <c r="B144" s="31">
        <f>SUM(B135:B142)</f>
        <v>13</v>
      </c>
      <c r="C144" s="32">
        <f t="shared" ref="C144:E144" si="48">SUM(C135:C142)</f>
        <v>20</v>
      </c>
      <c r="D144" s="32">
        <f t="shared" si="48"/>
        <v>17</v>
      </c>
      <c r="E144" s="32">
        <f t="shared" si="48"/>
        <v>13</v>
      </c>
      <c r="F144" s="33"/>
      <c r="G144" s="31">
        <f>SUM(G135:G142)</f>
        <v>9</v>
      </c>
      <c r="H144" s="32">
        <f t="shared" ref="H144:J144" si="49">SUM(H135:H142)</f>
        <v>9</v>
      </c>
      <c r="I144" s="32">
        <f t="shared" si="49"/>
        <v>10</v>
      </c>
      <c r="J144" s="32">
        <f t="shared" si="49"/>
        <v>8</v>
      </c>
      <c r="K144" s="33"/>
      <c r="L144" s="31">
        <f>SUM(L135:L142)</f>
        <v>8</v>
      </c>
      <c r="M144" s="32">
        <f t="shared" ref="M144:O144" si="50">SUM(M135:M142)</f>
        <v>7</v>
      </c>
      <c r="N144" s="32">
        <f t="shared" si="50"/>
        <v>6</v>
      </c>
      <c r="O144" s="32">
        <f t="shared" si="50"/>
        <v>5</v>
      </c>
      <c r="P144" s="35"/>
      <c r="Q144" s="31">
        <f>SUM(Q135:Q142)</f>
        <v>8</v>
      </c>
      <c r="R144" s="32">
        <f t="shared" ref="R144:T144" si="51">SUM(R135:R142)</f>
        <v>10</v>
      </c>
      <c r="S144" s="32">
        <f t="shared" si="51"/>
        <v>0</v>
      </c>
      <c r="T144" s="32">
        <f t="shared" si="51"/>
        <v>0</v>
      </c>
      <c r="U144" s="34"/>
      <c r="V144" s="10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</row>
    <row r="145" spans="1:175" x14ac:dyDescent="0.2">
      <c r="A145" s="12">
        <v>18</v>
      </c>
      <c r="B145" s="13" t="s">
        <v>59</v>
      </c>
      <c r="C145" s="12" t="s">
        <v>60</v>
      </c>
      <c r="D145" s="12" t="s">
        <v>61</v>
      </c>
      <c r="E145" s="14" t="s">
        <v>62</v>
      </c>
      <c r="F145" s="15"/>
      <c r="G145" s="13" t="s">
        <v>59</v>
      </c>
      <c r="H145" s="12" t="s">
        <v>60</v>
      </c>
      <c r="I145" s="12" t="s">
        <v>61</v>
      </c>
      <c r="J145" s="14" t="s">
        <v>62</v>
      </c>
      <c r="K145" s="15"/>
      <c r="L145" s="13" t="s">
        <v>59</v>
      </c>
      <c r="M145" s="12" t="s">
        <v>60</v>
      </c>
      <c r="N145" s="12" t="s">
        <v>61</v>
      </c>
      <c r="O145" s="14" t="s">
        <v>62</v>
      </c>
      <c r="P145" s="15"/>
      <c r="Q145" s="13" t="s">
        <v>59</v>
      </c>
      <c r="R145" s="12" t="s">
        <v>60</v>
      </c>
      <c r="S145" s="12" t="s">
        <v>61</v>
      </c>
      <c r="T145" s="14" t="s">
        <v>62</v>
      </c>
      <c r="U145" s="18"/>
      <c r="V145" s="10"/>
    </row>
    <row r="146" spans="1:175" x14ac:dyDescent="0.2">
      <c r="A146" s="16">
        <v>1</v>
      </c>
      <c r="B146" s="17">
        <v>3</v>
      </c>
      <c r="C146" s="5">
        <v>3</v>
      </c>
      <c r="D146" s="5">
        <v>3</v>
      </c>
      <c r="E146" s="18">
        <v>0</v>
      </c>
      <c r="F146" s="19" t="s">
        <v>63</v>
      </c>
      <c r="G146" s="17">
        <v>0</v>
      </c>
      <c r="H146" s="5">
        <v>0</v>
      </c>
      <c r="I146" s="5">
        <v>0</v>
      </c>
      <c r="J146" s="18">
        <v>0</v>
      </c>
      <c r="K146" s="19" t="s">
        <v>63</v>
      </c>
      <c r="L146" s="17">
        <v>1</v>
      </c>
      <c r="M146" s="5">
        <v>0</v>
      </c>
      <c r="N146" s="5">
        <v>2</v>
      </c>
      <c r="O146" s="18">
        <v>0</v>
      </c>
      <c r="P146" s="19" t="s">
        <v>63</v>
      </c>
      <c r="Q146" s="22">
        <v>0</v>
      </c>
      <c r="R146" s="7">
        <v>0</v>
      </c>
      <c r="S146" s="7">
        <v>0</v>
      </c>
      <c r="T146" s="23">
        <v>1</v>
      </c>
      <c r="U146" s="20" t="s">
        <v>63</v>
      </c>
      <c r="V146" s="10"/>
    </row>
    <row r="147" spans="1:175" x14ac:dyDescent="0.2">
      <c r="A147" s="16">
        <v>2</v>
      </c>
      <c r="B147" s="17">
        <v>4</v>
      </c>
      <c r="C147" s="5">
        <v>0</v>
      </c>
      <c r="D147" s="5">
        <v>1</v>
      </c>
      <c r="E147" s="18">
        <v>0</v>
      </c>
      <c r="F147" s="21">
        <f>AVERAGE(B155:E155)</f>
        <v>11.25</v>
      </c>
      <c r="G147" s="17">
        <v>0</v>
      </c>
      <c r="H147" s="5">
        <v>2</v>
      </c>
      <c r="I147" s="5">
        <v>0</v>
      </c>
      <c r="J147" s="18">
        <v>0</v>
      </c>
      <c r="K147" s="21">
        <f>AVERAGE(G155:J155)</f>
        <v>4.25</v>
      </c>
      <c r="L147" s="17">
        <v>0</v>
      </c>
      <c r="M147" s="5">
        <v>1</v>
      </c>
      <c r="N147" s="5">
        <v>0</v>
      </c>
      <c r="O147" s="18">
        <v>0</v>
      </c>
      <c r="P147" s="21">
        <f>AVERAGE(L155:O155)</f>
        <v>6</v>
      </c>
      <c r="Q147" s="22">
        <v>0</v>
      </c>
      <c r="R147" s="7">
        <v>1</v>
      </c>
      <c r="S147" s="7">
        <v>0</v>
      </c>
      <c r="T147" s="23">
        <v>0</v>
      </c>
      <c r="U147" s="24">
        <f>AVERAGE(Q155:T155)</f>
        <v>3.75</v>
      </c>
      <c r="V147" s="10"/>
    </row>
    <row r="148" spans="1:175" x14ac:dyDescent="0.2">
      <c r="A148" s="16">
        <v>3</v>
      </c>
      <c r="B148" s="17">
        <v>1</v>
      </c>
      <c r="C148" s="5">
        <v>3</v>
      </c>
      <c r="D148" s="5">
        <v>2</v>
      </c>
      <c r="E148" s="18">
        <v>1</v>
      </c>
      <c r="F148" s="15"/>
      <c r="G148" s="17">
        <v>1</v>
      </c>
      <c r="H148" s="5">
        <v>0</v>
      </c>
      <c r="I148" s="5">
        <v>0</v>
      </c>
      <c r="J148" s="18">
        <v>1</v>
      </c>
      <c r="K148" s="15"/>
      <c r="L148" s="17">
        <v>2</v>
      </c>
      <c r="M148" s="5">
        <v>0</v>
      </c>
      <c r="N148" s="5">
        <v>3</v>
      </c>
      <c r="O148" s="18">
        <v>1</v>
      </c>
      <c r="P148" s="15"/>
      <c r="Q148" s="22">
        <v>0</v>
      </c>
      <c r="R148" s="7">
        <v>3</v>
      </c>
      <c r="S148" s="7">
        <v>0</v>
      </c>
      <c r="T148" s="23">
        <v>0</v>
      </c>
      <c r="U148" s="18"/>
      <c r="V148" s="10"/>
    </row>
    <row r="149" spans="1:175" x14ac:dyDescent="0.2">
      <c r="A149" s="16">
        <v>4</v>
      </c>
      <c r="B149" s="17">
        <v>2</v>
      </c>
      <c r="C149" s="5">
        <v>1</v>
      </c>
      <c r="D149" s="5">
        <v>1</v>
      </c>
      <c r="E149" s="18">
        <v>3</v>
      </c>
      <c r="F149" s="19" t="s">
        <v>64</v>
      </c>
      <c r="G149" s="17">
        <v>1</v>
      </c>
      <c r="H149" s="5">
        <v>1</v>
      </c>
      <c r="I149" s="5">
        <v>6</v>
      </c>
      <c r="J149" s="18">
        <v>2</v>
      </c>
      <c r="K149" s="19" t="s">
        <v>64</v>
      </c>
      <c r="L149" s="17">
        <v>1</v>
      </c>
      <c r="M149" s="5">
        <v>2</v>
      </c>
      <c r="N149" s="5">
        <v>0</v>
      </c>
      <c r="O149" s="18">
        <v>0</v>
      </c>
      <c r="P149" s="19" t="s">
        <v>64</v>
      </c>
      <c r="Q149" s="22">
        <v>0</v>
      </c>
      <c r="R149" s="7">
        <v>0</v>
      </c>
      <c r="S149" s="7">
        <v>1</v>
      </c>
      <c r="T149" s="23">
        <v>0</v>
      </c>
      <c r="U149" s="20" t="s">
        <v>64</v>
      </c>
      <c r="V149" s="10"/>
    </row>
    <row r="150" spans="1:175" x14ac:dyDescent="0.2">
      <c r="A150" s="16">
        <v>5</v>
      </c>
      <c r="B150" s="17">
        <v>0</v>
      </c>
      <c r="C150" s="5">
        <v>1</v>
      </c>
      <c r="D150" s="5">
        <v>2</v>
      </c>
      <c r="E150" s="18">
        <v>1</v>
      </c>
      <c r="F150" s="15">
        <f>(F147*10)*1750</f>
        <v>196875</v>
      </c>
      <c r="G150" s="17">
        <v>0</v>
      </c>
      <c r="H150" s="5">
        <v>0</v>
      </c>
      <c r="I150" s="5">
        <v>0</v>
      </c>
      <c r="J150" s="18">
        <v>0</v>
      </c>
      <c r="K150" s="15">
        <f>(K147*10)*1750</f>
        <v>74375</v>
      </c>
      <c r="L150" s="17">
        <v>0</v>
      </c>
      <c r="M150" s="5">
        <v>0</v>
      </c>
      <c r="N150" s="5">
        <v>2</v>
      </c>
      <c r="O150" s="18">
        <v>0</v>
      </c>
      <c r="P150" s="15">
        <f>(P147*10)*1750</f>
        <v>105000</v>
      </c>
      <c r="Q150" s="22">
        <v>1</v>
      </c>
      <c r="R150" s="7">
        <v>2</v>
      </c>
      <c r="S150" s="7">
        <v>0</v>
      </c>
      <c r="T150" s="23">
        <v>2</v>
      </c>
      <c r="U150" s="18">
        <f>(U147*10)*1000</f>
        <v>37500</v>
      </c>
      <c r="V150" s="10"/>
    </row>
    <row r="151" spans="1:175" x14ac:dyDescent="0.2">
      <c r="A151" s="16">
        <v>6</v>
      </c>
      <c r="B151" s="17">
        <v>0</v>
      </c>
      <c r="C151" s="5">
        <v>0</v>
      </c>
      <c r="D151" s="5">
        <v>3</v>
      </c>
      <c r="E151" s="18">
        <v>2</v>
      </c>
      <c r="F151" s="15"/>
      <c r="G151" s="17">
        <v>0</v>
      </c>
      <c r="H151" s="5">
        <v>0</v>
      </c>
      <c r="I151" s="5">
        <v>0</v>
      </c>
      <c r="J151" s="18">
        <v>0</v>
      </c>
      <c r="K151" s="15"/>
      <c r="L151" s="17">
        <v>0</v>
      </c>
      <c r="M151" s="5">
        <v>0</v>
      </c>
      <c r="N151" s="5">
        <v>0</v>
      </c>
      <c r="O151" s="18">
        <v>1</v>
      </c>
      <c r="P151" s="15"/>
      <c r="Q151" s="22">
        <v>0</v>
      </c>
      <c r="R151" s="7">
        <v>0</v>
      </c>
      <c r="S151" s="7">
        <v>1</v>
      </c>
      <c r="T151" s="23">
        <v>0</v>
      </c>
      <c r="U151" s="18"/>
      <c r="V151" s="10"/>
    </row>
    <row r="152" spans="1:175" x14ac:dyDescent="0.2">
      <c r="A152" s="16">
        <v>7</v>
      </c>
      <c r="B152" s="17">
        <v>0</v>
      </c>
      <c r="C152" s="5">
        <v>2</v>
      </c>
      <c r="D152" s="5">
        <v>1</v>
      </c>
      <c r="E152" s="18">
        <v>0</v>
      </c>
      <c r="F152" s="15"/>
      <c r="G152" s="17">
        <v>0</v>
      </c>
      <c r="H152" s="5">
        <v>1</v>
      </c>
      <c r="I152" s="5">
        <v>1</v>
      </c>
      <c r="J152" s="18">
        <v>0</v>
      </c>
      <c r="K152" s="15"/>
      <c r="L152" s="17">
        <v>0</v>
      </c>
      <c r="M152" s="5">
        <v>0</v>
      </c>
      <c r="N152" s="5">
        <v>0</v>
      </c>
      <c r="O152" s="18">
        <v>0</v>
      </c>
      <c r="P152" s="15"/>
      <c r="Q152" s="22">
        <v>0</v>
      </c>
      <c r="R152" s="7">
        <v>0</v>
      </c>
      <c r="S152" s="7">
        <v>0</v>
      </c>
      <c r="T152" s="23">
        <v>0</v>
      </c>
      <c r="U152" s="18"/>
      <c r="V152" s="10"/>
    </row>
    <row r="153" spans="1:175" x14ac:dyDescent="0.2">
      <c r="A153" s="16">
        <v>8</v>
      </c>
      <c r="B153" s="17">
        <v>1</v>
      </c>
      <c r="C153" s="5">
        <v>3</v>
      </c>
      <c r="D153" s="5">
        <v>1</v>
      </c>
      <c r="E153" s="18">
        <v>0</v>
      </c>
      <c r="F153" s="15"/>
      <c r="G153" s="17">
        <v>1</v>
      </c>
      <c r="H153" s="5">
        <v>0</v>
      </c>
      <c r="I153" s="5">
        <v>0</v>
      </c>
      <c r="J153" s="18">
        <v>0</v>
      </c>
      <c r="K153" s="15"/>
      <c r="L153" s="17">
        <v>2</v>
      </c>
      <c r="M153" s="5">
        <v>1</v>
      </c>
      <c r="N153" s="5">
        <v>3</v>
      </c>
      <c r="O153" s="18">
        <v>2</v>
      </c>
      <c r="P153" s="15"/>
      <c r="Q153" s="22">
        <v>0</v>
      </c>
      <c r="R153" s="7">
        <v>1</v>
      </c>
      <c r="S153" s="7">
        <v>2</v>
      </c>
      <c r="T153" s="23">
        <v>0</v>
      </c>
      <c r="U153" s="18"/>
      <c r="V153" s="10"/>
    </row>
    <row r="154" spans="1:175" x14ac:dyDescent="0.2">
      <c r="A154" s="27"/>
      <c r="B154" s="28" t="s">
        <v>64</v>
      </c>
      <c r="C154" s="29" t="s">
        <v>64</v>
      </c>
      <c r="D154" s="29" t="s">
        <v>64</v>
      </c>
      <c r="E154" s="29" t="s">
        <v>64</v>
      </c>
      <c r="F154" s="19"/>
      <c r="G154" s="28" t="s">
        <v>64</v>
      </c>
      <c r="H154" s="29" t="s">
        <v>64</v>
      </c>
      <c r="I154" s="29" t="s">
        <v>64</v>
      </c>
      <c r="J154" s="29" t="s">
        <v>64</v>
      </c>
      <c r="K154" s="19"/>
      <c r="L154" s="28" t="s">
        <v>64</v>
      </c>
      <c r="M154" s="29" t="s">
        <v>64</v>
      </c>
      <c r="N154" s="29" t="s">
        <v>64</v>
      </c>
      <c r="O154" s="29" t="s">
        <v>64</v>
      </c>
      <c r="P154" s="19"/>
      <c r="Q154" s="28" t="s">
        <v>64</v>
      </c>
      <c r="R154" s="29" t="s">
        <v>64</v>
      </c>
      <c r="S154" s="29" t="s">
        <v>64</v>
      </c>
      <c r="T154" s="29" t="s">
        <v>64</v>
      </c>
      <c r="U154" s="20"/>
      <c r="V154" s="10"/>
    </row>
    <row r="155" spans="1:175" s="11" customFormat="1" x14ac:dyDescent="0.2">
      <c r="A155" s="30"/>
      <c r="B155" s="31">
        <f>SUM(B146:B153)</f>
        <v>11</v>
      </c>
      <c r="C155" s="32">
        <f t="shared" ref="C155:E155" si="52">SUM(C146:C153)</f>
        <v>13</v>
      </c>
      <c r="D155" s="32">
        <f t="shared" si="52"/>
        <v>14</v>
      </c>
      <c r="E155" s="32">
        <f t="shared" si="52"/>
        <v>7</v>
      </c>
      <c r="F155" s="33"/>
      <c r="G155" s="31">
        <f>SUM(G146:G153)</f>
        <v>3</v>
      </c>
      <c r="H155" s="32">
        <f t="shared" ref="H155:J155" si="53">SUM(H146:H153)</f>
        <v>4</v>
      </c>
      <c r="I155" s="32">
        <f t="shared" si="53"/>
        <v>7</v>
      </c>
      <c r="J155" s="32">
        <f t="shared" si="53"/>
        <v>3</v>
      </c>
      <c r="K155" s="33"/>
      <c r="L155" s="31">
        <f>SUM(L146:L153)</f>
        <v>6</v>
      </c>
      <c r="M155" s="32">
        <f t="shared" ref="M155:O155" si="54">SUM(M146:M153)</f>
        <v>4</v>
      </c>
      <c r="N155" s="32">
        <f t="shared" si="54"/>
        <v>10</v>
      </c>
      <c r="O155" s="32">
        <f t="shared" si="54"/>
        <v>4</v>
      </c>
      <c r="P155" s="35"/>
      <c r="Q155" s="31">
        <f>SUM(Q146:Q153)</f>
        <v>1</v>
      </c>
      <c r="R155" s="32">
        <f t="shared" ref="R155:T155" si="55">SUM(R146:R153)</f>
        <v>7</v>
      </c>
      <c r="S155" s="32">
        <f t="shared" si="55"/>
        <v>4</v>
      </c>
      <c r="T155" s="32">
        <f t="shared" si="55"/>
        <v>3</v>
      </c>
      <c r="U155" s="34"/>
      <c r="V155" s="10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</row>
    <row r="156" spans="1:175" x14ac:dyDescent="0.2">
      <c r="A156" s="53">
        <v>19</v>
      </c>
      <c r="B156" s="54" t="s">
        <v>59</v>
      </c>
      <c r="C156" s="53" t="s">
        <v>60</v>
      </c>
      <c r="D156" s="53" t="s">
        <v>61</v>
      </c>
      <c r="E156" s="55" t="s">
        <v>62</v>
      </c>
      <c r="F156" s="15"/>
      <c r="G156" s="53" t="s">
        <v>59</v>
      </c>
      <c r="H156" s="53" t="s">
        <v>60</v>
      </c>
      <c r="I156" s="53" t="s">
        <v>61</v>
      </c>
      <c r="J156" s="55" t="s">
        <v>62</v>
      </c>
      <c r="K156" s="15"/>
      <c r="L156" s="53" t="s">
        <v>59</v>
      </c>
      <c r="M156" s="53" t="s">
        <v>60</v>
      </c>
      <c r="N156" s="53" t="s">
        <v>61</v>
      </c>
      <c r="O156" s="55" t="s">
        <v>62</v>
      </c>
      <c r="P156" s="15"/>
      <c r="Q156" s="53" t="s">
        <v>59</v>
      </c>
      <c r="R156" s="53" t="s">
        <v>60</v>
      </c>
      <c r="S156" s="53" t="s">
        <v>61</v>
      </c>
      <c r="T156" s="55" t="s">
        <v>62</v>
      </c>
      <c r="U156" s="18"/>
      <c r="V156" s="56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  <c r="BU156" s="57"/>
      <c r="BV156" s="57"/>
      <c r="BW156" s="57"/>
      <c r="BX156" s="57"/>
      <c r="BY156" s="57"/>
      <c r="BZ156" s="57"/>
      <c r="CA156" s="57"/>
      <c r="CB156" s="57"/>
      <c r="CC156" s="57"/>
      <c r="CD156" s="57"/>
      <c r="CE156" s="57"/>
      <c r="CF156" s="57"/>
      <c r="CG156" s="57"/>
      <c r="CH156" s="57"/>
      <c r="CI156" s="57"/>
      <c r="CJ156" s="57"/>
      <c r="CK156" s="57"/>
      <c r="CL156" s="57"/>
      <c r="CM156" s="57"/>
      <c r="CN156" s="57"/>
      <c r="CO156" s="57"/>
      <c r="CP156" s="57"/>
      <c r="CQ156" s="57"/>
      <c r="CR156" s="57"/>
      <c r="CS156" s="57"/>
      <c r="CT156" s="57"/>
      <c r="CU156" s="57"/>
      <c r="CV156" s="57"/>
      <c r="CW156" s="57"/>
      <c r="CX156" s="57"/>
      <c r="CY156" s="57"/>
      <c r="CZ156" s="57"/>
      <c r="DA156" s="57"/>
      <c r="DB156" s="57"/>
      <c r="DC156" s="57"/>
      <c r="DD156" s="57"/>
      <c r="DE156" s="57"/>
      <c r="DF156" s="57"/>
      <c r="DG156" s="57"/>
      <c r="DH156" s="57"/>
      <c r="DI156" s="57"/>
      <c r="DJ156" s="57"/>
      <c r="DK156" s="57"/>
      <c r="DL156" s="57"/>
      <c r="DM156" s="57"/>
      <c r="DN156" s="57"/>
      <c r="DO156" s="57"/>
      <c r="DP156" s="57"/>
      <c r="DQ156" s="57"/>
      <c r="DR156" s="57"/>
      <c r="DS156" s="57"/>
      <c r="DT156" s="57"/>
      <c r="DU156" s="57"/>
      <c r="DV156" s="57"/>
      <c r="DW156" s="57"/>
      <c r="DX156" s="57"/>
      <c r="DY156" s="57"/>
      <c r="DZ156" s="57"/>
      <c r="EA156" s="57"/>
      <c r="EB156" s="57"/>
      <c r="EC156" s="57"/>
      <c r="ED156" s="57"/>
      <c r="EE156" s="57"/>
      <c r="EF156" s="57"/>
      <c r="EG156" s="57"/>
      <c r="EH156" s="57"/>
      <c r="EI156" s="57"/>
      <c r="EJ156" s="57"/>
      <c r="EK156" s="57"/>
      <c r="EL156" s="57"/>
      <c r="EM156" s="57"/>
      <c r="EN156" s="57"/>
      <c r="EO156" s="57"/>
      <c r="EP156" s="57"/>
      <c r="EQ156" s="57"/>
      <c r="ER156" s="57"/>
      <c r="ES156" s="57"/>
      <c r="ET156" s="57"/>
      <c r="EU156" s="57"/>
      <c r="EV156" s="57"/>
      <c r="EW156" s="57"/>
      <c r="EX156" s="57"/>
      <c r="EY156" s="57"/>
      <c r="EZ156" s="57"/>
      <c r="FA156" s="57"/>
      <c r="FB156" s="57"/>
      <c r="FC156" s="57"/>
      <c r="FD156" s="57"/>
      <c r="FE156" s="57"/>
      <c r="FF156" s="57"/>
      <c r="FG156" s="57"/>
      <c r="FH156" s="57"/>
      <c r="FI156" s="57"/>
      <c r="FJ156" s="57"/>
      <c r="FK156" s="57"/>
      <c r="FL156" s="57"/>
      <c r="FM156" s="57"/>
      <c r="FN156" s="57"/>
      <c r="FO156" s="57"/>
      <c r="FP156" s="57"/>
      <c r="FQ156" s="57"/>
      <c r="FR156" s="57"/>
      <c r="FS156" s="57"/>
    </row>
    <row r="157" spans="1:175" x14ac:dyDescent="0.2">
      <c r="A157" s="58">
        <v>1</v>
      </c>
      <c r="B157" s="22">
        <v>1</v>
      </c>
      <c r="C157" s="7">
        <v>0</v>
      </c>
      <c r="D157" s="7">
        <v>1</v>
      </c>
      <c r="E157" s="23">
        <v>1</v>
      </c>
      <c r="F157" s="19" t="s">
        <v>63</v>
      </c>
      <c r="G157" s="7">
        <v>0</v>
      </c>
      <c r="H157" s="7">
        <v>0</v>
      </c>
      <c r="I157" s="7">
        <v>0</v>
      </c>
      <c r="J157" s="23">
        <v>0</v>
      </c>
      <c r="K157" s="19" t="s">
        <v>63</v>
      </c>
      <c r="L157" s="7">
        <v>0</v>
      </c>
      <c r="M157" s="7">
        <v>0</v>
      </c>
      <c r="N157" s="7">
        <v>0</v>
      </c>
      <c r="O157" s="23">
        <v>0</v>
      </c>
      <c r="P157" s="19" t="s">
        <v>63</v>
      </c>
      <c r="Q157" s="7" t="s">
        <v>68</v>
      </c>
      <c r="R157" s="7" t="s">
        <v>68</v>
      </c>
      <c r="S157" s="7" t="s">
        <v>68</v>
      </c>
      <c r="T157" s="7" t="s">
        <v>68</v>
      </c>
      <c r="U157" s="20" t="s">
        <v>63</v>
      </c>
      <c r="V157" s="56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  <c r="BU157" s="57"/>
      <c r="BV157" s="57"/>
      <c r="BW157" s="57"/>
      <c r="BX157" s="57"/>
      <c r="BY157" s="57"/>
      <c r="BZ157" s="57"/>
      <c r="CA157" s="57"/>
      <c r="CB157" s="57"/>
      <c r="CC157" s="57"/>
      <c r="CD157" s="57"/>
      <c r="CE157" s="57"/>
      <c r="CF157" s="57"/>
      <c r="CG157" s="57"/>
      <c r="CH157" s="57"/>
      <c r="CI157" s="57"/>
      <c r="CJ157" s="57"/>
      <c r="CK157" s="57"/>
      <c r="CL157" s="57"/>
      <c r="CM157" s="57"/>
      <c r="CN157" s="57"/>
      <c r="CO157" s="57"/>
      <c r="CP157" s="57"/>
      <c r="CQ157" s="57"/>
      <c r="CR157" s="57"/>
      <c r="CS157" s="57"/>
      <c r="CT157" s="57"/>
      <c r="CU157" s="57"/>
      <c r="CV157" s="57"/>
      <c r="CW157" s="57"/>
      <c r="CX157" s="57"/>
      <c r="CY157" s="57"/>
      <c r="CZ157" s="57"/>
      <c r="DA157" s="57"/>
      <c r="DB157" s="57"/>
      <c r="DC157" s="57"/>
      <c r="DD157" s="57"/>
      <c r="DE157" s="57"/>
      <c r="DF157" s="57"/>
      <c r="DG157" s="57"/>
      <c r="DH157" s="57"/>
      <c r="DI157" s="57"/>
      <c r="DJ157" s="57"/>
      <c r="DK157" s="57"/>
      <c r="DL157" s="57"/>
      <c r="DM157" s="57"/>
      <c r="DN157" s="57"/>
      <c r="DO157" s="57"/>
      <c r="DP157" s="57"/>
      <c r="DQ157" s="57"/>
      <c r="DR157" s="57"/>
      <c r="DS157" s="57"/>
      <c r="DT157" s="57"/>
      <c r="DU157" s="57"/>
      <c r="DV157" s="57"/>
      <c r="DW157" s="57"/>
      <c r="DX157" s="57"/>
      <c r="DY157" s="57"/>
      <c r="DZ157" s="57"/>
      <c r="EA157" s="57"/>
      <c r="EB157" s="57"/>
      <c r="EC157" s="57"/>
      <c r="ED157" s="57"/>
      <c r="EE157" s="57"/>
      <c r="EF157" s="57"/>
      <c r="EG157" s="57"/>
      <c r="EH157" s="57"/>
      <c r="EI157" s="57"/>
      <c r="EJ157" s="57"/>
      <c r="EK157" s="57"/>
      <c r="EL157" s="57"/>
      <c r="EM157" s="57"/>
      <c r="EN157" s="57"/>
      <c r="EO157" s="57"/>
      <c r="EP157" s="57"/>
      <c r="EQ157" s="57"/>
      <c r="ER157" s="57"/>
      <c r="ES157" s="57"/>
      <c r="ET157" s="57"/>
      <c r="EU157" s="57"/>
      <c r="EV157" s="57"/>
      <c r="EW157" s="57"/>
      <c r="EX157" s="57"/>
      <c r="EY157" s="57"/>
      <c r="EZ157" s="57"/>
      <c r="FA157" s="57"/>
      <c r="FB157" s="57"/>
      <c r="FC157" s="57"/>
      <c r="FD157" s="57"/>
      <c r="FE157" s="57"/>
      <c r="FF157" s="57"/>
      <c r="FG157" s="57"/>
      <c r="FH157" s="57"/>
      <c r="FI157" s="57"/>
      <c r="FJ157" s="57"/>
      <c r="FK157" s="57"/>
      <c r="FL157" s="57"/>
      <c r="FM157" s="57"/>
      <c r="FN157" s="57"/>
      <c r="FO157" s="57"/>
      <c r="FP157" s="57"/>
      <c r="FQ157" s="57"/>
      <c r="FR157" s="57"/>
      <c r="FS157" s="57"/>
    </row>
    <row r="158" spans="1:175" x14ac:dyDescent="0.2">
      <c r="A158" s="58">
        <v>2</v>
      </c>
      <c r="B158" s="22">
        <v>0</v>
      </c>
      <c r="C158" s="7">
        <v>1</v>
      </c>
      <c r="D158" s="7">
        <v>2</v>
      </c>
      <c r="E158" s="23">
        <v>0</v>
      </c>
      <c r="F158" s="21">
        <f>AVERAGE(B166:E166)</f>
        <v>3.5</v>
      </c>
      <c r="G158" s="7">
        <v>0</v>
      </c>
      <c r="H158" s="7">
        <v>0</v>
      </c>
      <c r="I158" s="7">
        <v>0</v>
      </c>
      <c r="J158" s="23">
        <v>0</v>
      </c>
      <c r="K158" s="21">
        <f>AVERAGE(G166:J166)</f>
        <v>1.5</v>
      </c>
      <c r="L158" s="7">
        <v>0</v>
      </c>
      <c r="M158" s="7">
        <v>0</v>
      </c>
      <c r="N158" s="7">
        <v>0</v>
      </c>
      <c r="O158" s="23">
        <v>0</v>
      </c>
      <c r="P158" s="21">
        <f>AVERAGE(L166:O166)</f>
        <v>0.75</v>
      </c>
      <c r="Q158" s="7" t="s">
        <v>68</v>
      </c>
      <c r="R158" s="7" t="s">
        <v>68</v>
      </c>
      <c r="S158" s="7" t="s">
        <v>68</v>
      </c>
      <c r="T158" s="7" t="s">
        <v>68</v>
      </c>
      <c r="U158" s="24">
        <f>AVERAGE(Q166:T166)</f>
        <v>0</v>
      </c>
      <c r="V158" s="56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7"/>
      <c r="BZ158" s="57"/>
      <c r="CA158" s="57"/>
      <c r="CB158" s="57"/>
      <c r="CC158" s="57"/>
      <c r="CD158" s="57"/>
      <c r="CE158" s="57"/>
      <c r="CF158" s="57"/>
      <c r="CG158" s="57"/>
      <c r="CH158" s="57"/>
      <c r="CI158" s="57"/>
      <c r="CJ158" s="57"/>
      <c r="CK158" s="57"/>
      <c r="CL158" s="57"/>
      <c r="CM158" s="57"/>
      <c r="CN158" s="57"/>
      <c r="CO158" s="57"/>
      <c r="CP158" s="57"/>
      <c r="CQ158" s="57"/>
      <c r="CR158" s="57"/>
      <c r="CS158" s="57"/>
      <c r="CT158" s="57"/>
      <c r="CU158" s="57"/>
      <c r="CV158" s="57"/>
      <c r="CW158" s="57"/>
      <c r="CX158" s="57"/>
      <c r="CY158" s="57"/>
      <c r="CZ158" s="57"/>
      <c r="DA158" s="57"/>
      <c r="DB158" s="57"/>
      <c r="DC158" s="57"/>
      <c r="DD158" s="57"/>
      <c r="DE158" s="57"/>
      <c r="DF158" s="57"/>
      <c r="DG158" s="57"/>
      <c r="DH158" s="57"/>
      <c r="DI158" s="57"/>
      <c r="DJ158" s="57"/>
      <c r="DK158" s="57"/>
      <c r="DL158" s="57"/>
      <c r="DM158" s="57"/>
      <c r="DN158" s="57"/>
      <c r="DO158" s="57"/>
      <c r="DP158" s="57"/>
      <c r="DQ158" s="57"/>
      <c r="DR158" s="57"/>
      <c r="DS158" s="57"/>
      <c r="DT158" s="57"/>
      <c r="DU158" s="57"/>
      <c r="DV158" s="57"/>
      <c r="DW158" s="57"/>
      <c r="DX158" s="57"/>
      <c r="DY158" s="57"/>
      <c r="DZ158" s="57"/>
      <c r="EA158" s="57"/>
      <c r="EB158" s="57"/>
      <c r="EC158" s="57"/>
      <c r="ED158" s="57"/>
      <c r="EE158" s="57"/>
      <c r="EF158" s="57"/>
      <c r="EG158" s="57"/>
      <c r="EH158" s="57"/>
      <c r="EI158" s="57"/>
      <c r="EJ158" s="57"/>
      <c r="EK158" s="57"/>
      <c r="EL158" s="57"/>
      <c r="EM158" s="57"/>
      <c r="EN158" s="57"/>
      <c r="EO158" s="57"/>
      <c r="EP158" s="57"/>
      <c r="EQ158" s="57"/>
      <c r="ER158" s="57"/>
      <c r="ES158" s="57"/>
      <c r="ET158" s="57"/>
      <c r="EU158" s="57"/>
      <c r="EV158" s="57"/>
      <c r="EW158" s="57"/>
      <c r="EX158" s="57"/>
      <c r="EY158" s="57"/>
      <c r="EZ158" s="57"/>
      <c r="FA158" s="57"/>
      <c r="FB158" s="57"/>
      <c r="FC158" s="57"/>
      <c r="FD158" s="57"/>
      <c r="FE158" s="57"/>
      <c r="FF158" s="57"/>
      <c r="FG158" s="57"/>
      <c r="FH158" s="57"/>
      <c r="FI158" s="57"/>
      <c r="FJ158" s="57"/>
      <c r="FK158" s="57"/>
      <c r="FL158" s="57"/>
      <c r="FM158" s="57"/>
      <c r="FN158" s="57"/>
      <c r="FO158" s="57"/>
      <c r="FP158" s="57"/>
      <c r="FQ158" s="57"/>
      <c r="FR158" s="57"/>
      <c r="FS158" s="57"/>
    </row>
    <row r="159" spans="1:175" x14ac:dyDescent="0.2">
      <c r="A159" s="58">
        <v>3</v>
      </c>
      <c r="B159" s="22">
        <v>0</v>
      </c>
      <c r="C159" s="7">
        <v>0</v>
      </c>
      <c r="D159" s="7">
        <v>1</v>
      </c>
      <c r="E159" s="23">
        <v>0</v>
      </c>
      <c r="F159" s="15"/>
      <c r="G159" s="7">
        <v>0</v>
      </c>
      <c r="H159" s="7">
        <v>0</v>
      </c>
      <c r="I159" s="7">
        <v>0</v>
      </c>
      <c r="J159" s="23">
        <v>0</v>
      </c>
      <c r="K159" s="15"/>
      <c r="L159" s="7">
        <v>0</v>
      </c>
      <c r="M159" s="7">
        <v>0</v>
      </c>
      <c r="N159" s="7">
        <v>0</v>
      </c>
      <c r="O159" s="23">
        <v>0</v>
      </c>
      <c r="P159" s="15"/>
      <c r="Q159" s="7" t="s">
        <v>68</v>
      </c>
      <c r="R159" s="7" t="s">
        <v>68</v>
      </c>
      <c r="S159" s="7" t="s">
        <v>68</v>
      </c>
      <c r="T159" s="7" t="s">
        <v>68</v>
      </c>
      <c r="U159" s="18"/>
      <c r="V159" s="56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  <c r="BV159" s="57"/>
      <c r="BW159" s="57"/>
      <c r="BX159" s="57"/>
      <c r="BY159" s="57"/>
      <c r="BZ159" s="57"/>
      <c r="CA159" s="57"/>
      <c r="CB159" s="57"/>
      <c r="CC159" s="57"/>
      <c r="CD159" s="57"/>
      <c r="CE159" s="57"/>
      <c r="CF159" s="57"/>
      <c r="CG159" s="57"/>
      <c r="CH159" s="57"/>
      <c r="CI159" s="57"/>
      <c r="CJ159" s="57"/>
      <c r="CK159" s="57"/>
      <c r="CL159" s="57"/>
      <c r="CM159" s="57"/>
      <c r="CN159" s="57"/>
      <c r="CO159" s="57"/>
      <c r="CP159" s="57"/>
      <c r="CQ159" s="57"/>
      <c r="CR159" s="57"/>
      <c r="CS159" s="57"/>
      <c r="CT159" s="57"/>
      <c r="CU159" s="57"/>
      <c r="CV159" s="57"/>
      <c r="CW159" s="57"/>
      <c r="CX159" s="57"/>
      <c r="CY159" s="57"/>
      <c r="CZ159" s="57"/>
      <c r="DA159" s="57"/>
      <c r="DB159" s="57"/>
      <c r="DC159" s="57"/>
      <c r="DD159" s="57"/>
      <c r="DE159" s="57"/>
      <c r="DF159" s="57"/>
      <c r="DG159" s="57"/>
      <c r="DH159" s="57"/>
      <c r="DI159" s="57"/>
      <c r="DJ159" s="57"/>
      <c r="DK159" s="57"/>
      <c r="DL159" s="57"/>
      <c r="DM159" s="57"/>
      <c r="DN159" s="57"/>
      <c r="DO159" s="57"/>
      <c r="DP159" s="57"/>
      <c r="DQ159" s="57"/>
      <c r="DR159" s="57"/>
      <c r="DS159" s="57"/>
      <c r="DT159" s="57"/>
      <c r="DU159" s="57"/>
      <c r="DV159" s="57"/>
      <c r="DW159" s="57"/>
      <c r="DX159" s="57"/>
      <c r="DY159" s="57"/>
      <c r="DZ159" s="57"/>
      <c r="EA159" s="57"/>
      <c r="EB159" s="57"/>
      <c r="EC159" s="57"/>
      <c r="ED159" s="57"/>
      <c r="EE159" s="57"/>
      <c r="EF159" s="57"/>
      <c r="EG159" s="57"/>
      <c r="EH159" s="57"/>
      <c r="EI159" s="57"/>
      <c r="EJ159" s="57"/>
      <c r="EK159" s="57"/>
      <c r="EL159" s="57"/>
      <c r="EM159" s="57"/>
      <c r="EN159" s="57"/>
      <c r="EO159" s="57"/>
      <c r="EP159" s="57"/>
      <c r="EQ159" s="57"/>
      <c r="ER159" s="57"/>
      <c r="ES159" s="57"/>
      <c r="ET159" s="57"/>
      <c r="EU159" s="57"/>
      <c r="EV159" s="57"/>
      <c r="EW159" s="57"/>
      <c r="EX159" s="57"/>
      <c r="EY159" s="57"/>
      <c r="EZ159" s="57"/>
      <c r="FA159" s="57"/>
      <c r="FB159" s="57"/>
      <c r="FC159" s="57"/>
      <c r="FD159" s="57"/>
      <c r="FE159" s="57"/>
      <c r="FF159" s="57"/>
      <c r="FG159" s="57"/>
      <c r="FH159" s="57"/>
      <c r="FI159" s="57"/>
      <c r="FJ159" s="57"/>
      <c r="FK159" s="57"/>
      <c r="FL159" s="57"/>
      <c r="FM159" s="57"/>
      <c r="FN159" s="57"/>
      <c r="FO159" s="57"/>
      <c r="FP159" s="57"/>
      <c r="FQ159" s="57"/>
      <c r="FR159" s="57"/>
      <c r="FS159" s="57"/>
    </row>
    <row r="160" spans="1:175" x14ac:dyDescent="0.2">
      <c r="A160" s="58">
        <v>4</v>
      </c>
      <c r="B160" s="22">
        <v>1</v>
      </c>
      <c r="C160" s="7">
        <v>0</v>
      </c>
      <c r="D160" s="7">
        <v>0</v>
      </c>
      <c r="E160" s="23">
        <v>0</v>
      </c>
      <c r="F160" s="19" t="s">
        <v>64</v>
      </c>
      <c r="G160" s="7">
        <v>0</v>
      </c>
      <c r="H160" s="7">
        <v>0</v>
      </c>
      <c r="I160" s="7">
        <v>0</v>
      </c>
      <c r="J160" s="23">
        <v>0</v>
      </c>
      <c r="K160" s="19" t="s">
        <v>64</v>
      </c>
      <c r="L160" s="7">
        <v>0</v>
      </c>
      <c r="M160" s="7">
        <v>0</v>
      </c>
      <c r="N160" s="7">
        <v>0</v>
      </c>
      <c r="O160" s="23">
        <v>2</v>
      </c>
      <c r="P160" s="19" t="s">
        <v>64</v>
      </c>
      <c r="Q160" s="7" t="s">
        <v>68</v>
      </c>
      <c r="R160" s="7" t="s">
        <v>68</v>
      </c>
      <c r="S160" s="7" t="s">
        <v>68</v>
      </c>
      <c r="T160" s="7" t="s">
        <v>68</v>
      </c>
      <c r="U160" s="20" t="s">
        <v>64</v>
      </c>
      <c r="V160" s="56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  <c r="BU160" s="57"/>
      <c r="BV160" s="57"/>
      <c r="BW160" s="57"/>
      <c r="BX160" s="57"/>
      <c r="BY160" s="57"/>
      <c r="BZ160" s="57"/>
      <c r="CA160" s="57"/>
      <c r="CB160" s="57"/>
      <c r="CC160" s="57"/>
      <c r="CD160" s="57"/>
      <c r="CE160" s="57"/>
      <c r="CF160" s="57"/>
      <c r="CG160" s="57"/>
      <c r="CH160" s="57"/>
      <c r="CI160" s="57"/>
      <c r="CJ160" s="57"/>
      <c r="CK160" s="57"/>
      <c r="CL160" s="57"/>
      <c r="CM160" s="57"/>
      <c r="CN160" s="57"/>
      <c r="CO160" s="57"/>
      <c r="CP160" s="57"/>
      <c r="CQ160" s="57"/>
      <c r="CR160" s="57"/>
      <c r="CS160" s="57"/>
      <c r="CT160" s="57"/>
      <c r="CU160" s="57"/>
      <c r="CV160" s="57"/>
      <c r="CW160" s="57"/>
      <c r="CX160" s="57"/>
      <c r="CY160" s="57"/>
      <c r="CZ160" s="57"/>
      <c r="DA160" s="57"/>
      <c r="DB160" s="57"/>
      <c r="DC160" s="57"/>
      <c r="DD160" s="57"/>
      <c r="DE160" s="57"/>
      <c r="DF160" s="57"/>
      <c r="DG160" s="57"/>
      <c r="DH160" s="57"/>
      <c r="DI160" s="57"/>
      <c r="DJ160" s="57"/>
      <c r="DK160" s="57"/>
      <c r="DL160" s="57"/>
      <c r="DM160" s="57"/>
      <c r="DN160" s="57"/>
      <c r="DO160" s="57"/>
      <c r="DP160" s="57"/>
      <c r="DQ160" s="57"/>
      <c r="DR160" s="57"/>
      <c r="DS160" s="57"/>
      <c r="DT160" s="57"/>
      <c r="DU160" s="57"/>
      <c r="DV160" s="57"/>
      <c r="DW160" s="57"/>
      <c r="DX160" s="57"/>
      <c r="DY160" s="57"/>
      <c r="DZ160" s="57"/>
      <c r="EA160" s="57"/>
      <c r="EB160" s="57"/>
      <c r="EC160" s="57"/>
      <c r="ED160" s="57"/>
      <c r="EE160" s="57"/>
      <c r="EF160" s="57"/>
      <c r="EG160" s="57"/>
      <c r="EH160" s="57"/>
      <c r="EI160" s="57"/>
      <c r="EJ160" s="57"/>
      <c r="EK160" s="57"/>
      <c r="EL160" s="57"/>
      <c r="EM160" s="57"/>
      <c r="EN160" s="57"/>
      <c r="EO160" s="57"/>
      <c r="EP160" s="57"/>
      <c r="EQ160" s="57"/>
      <c r="ER160" s="57"/>
      <c r="ES160" s="57"/>
      <c r="ET160" s="57"/>
      <c r="EU160" s="57"/>
      <c r="EV160" s="57"/>
      <c r="EW160" s="57"/>
      <c r="EX160" s="57"/>
      <c r="EY160" s="57"/>
      <c r="EZ160" s="57"/>
      <c r="FA160" s="57"/>
      <c r="FB160" s="57"/>
      <c r="FC160" s="57"/>
      <c r="FD160" s="57"/>
      <c r="FE160" s="57"/>
      <c r="FF160" s="57"/>
      <c r="FG160" s="57"/>
      <c r="FH160" s="57"/>
      <c r="FI160" s="57"/>
      <c r="FJ160" s="57"/>
      <c r="FK160" s="57"/>
      <c r="FL160" s="57"/>
      <c r="FM160" s="57"/>
      <c r="FN160" s="57"/>
      <c r="FO160" s="57"/>
      <c r="FP160" s="57"/>
      <c r="FQ160" s="57"/>
      <c r="FR160" s="57"/>
      <c r="FS160" s="57"/>
    </row>
    <row r="161" spans="1:175" x14ac:dyDescent="0.2">
      <c r="A161" s="58">
        <v>5</v>
      </c>
      <c r="B161" s="22">
        <v>0</v>
      </c>
      <c r="C161" s="7">
        <v>0</v>
      </c>
      <c r="D161" s="7">
        <v>0</v>
      </c>
      <c r="E161" s="23">
        <v>1</v>
      </c>
      <c r="F161" s="15">
        <f>(F158*10)*1750</f>
        <v>61250</v>
      </c>
      <c r="G161" s="7">
        <v>1</v>
      </c>
      <c r="H161" s="7">
        <v>1</v>
      </c>
      <c r="I161" s="7">
        <v>1</v>
      </c>
      <c r="J161" s="23">
        <v>1</v>
      </c>
      <c r="K161" s="15">
        <f>(K158*10)*1750</f>
        <v>26250</v>
      </c>
      <c r="L161" s="7">
        <v>0</v>
      </c>
      <c r="M161" s="7">
        <v>0</v>
      </c>
      <c r="N161" s="7">
        <v>0</v>
      </c>
      <c r="O161" s="23">
        <v>0</v>
      </c>
      <c r="P161" s="15">
        <f>(P158*10)*1750</f>
        <v>13125</v>
      </c>
      <c r="Q161" s="7" t="s">
        <v>68</v>
      </c>
      <c r="R161" s="7" t="s">
        <v>68</v>
      </c>
      <c r="S161" s="7" t="s">
        <v>68</v>
      </c>
      <c r="T161" s="7" t="s">
        <v>68</v>
      </c>
      <c r="U161" s="18">
        <f>(U158*10)*1000</f>
        <v>0</v>
      </c>
      <c r="V161" s="56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/>
      <c r="BU161" s="57"/>
      <c r="BV161" s="57"/>
      <c r="BW161" s="57"/>
      <c r="BX161" s="57"/>
      <c r="BY161" s="57"/>
      <c r="BZ161" s="57"/>
      <c r="CA161" s="57"/>
      <c r="CB161" s="57"/>
      <c r="CC161" s="57"/>
      <c r="CD161" s="57"/>
      <c r="CE161" s="57"/>
      <c r="CF161" s="57"/>
      <c r="CG161" s="57"/>
      <c r="CH161" s="57"/>
      <c r="CI161" s="57"/>
      <c r="CJ161" s="57"/>
      <c r="CK161" s="57"/>
      <c r="CL161" s="57"/>
      <c r="CM161" s="57"/>
      <c r="CN161" s="57"/>
      <c r="CO161" s="57"/>
      <c r="CP161" s="57"/>
      <c r="CQ161" s="57"/>
      <c r="CR161" s="57"/>
      <c r="CS161" s="57"/>
      <c r="CT161" s="57"/>
      <c r="CU161" s="57"/>
      <c r="CV161" s="57"/>
      <c r="CW161" s="57"/>
      <c r="CX161" s="57"/>
      <c r="CY161" s="57"/>
      <c r="CZ161" s="57"/>
      <c r="DA161" s="57"/>
      <c r="DB161" s="57"/>
      <c r="DC161" s="57"/>
      <c r="DD161" s="57"/>
      <c r="DE161" s="57"/>
      <c r="DF161" s="57"/>
      <c r="DG161" s="57"/>
      <c r="DH161" s="57"/>
      <c r="DI161" s="57"/>
      <c r="DJ161" s="57"/>
      <c r="DK161" s="57"/>
      <c r="DL161" s="57"/>
      <c r="DM161" s="57"/>
      <c r="DN161" s="57"/>
      <c r="DO161" s="57"/>
      <c r="DP161" s="57"/>
      <c r="DQ161" s="57"/>
      <c r="DR161" s="57"/>
      <c r="DS161" s="57"/>
      <c r="DT161" s="57"/>
      <c r="DU161" s="57"/>
      <c r="DV161" s="57"/>
      <c r="DW161" s="57"/>
      <c r="DX161" s="57"/>
      <c r="DY161" s="57"/>
      <c r="DZ161" s="57"/>
      <c r="EA161" s="57"/>
      <c r="EB161" s="57"/>
      <c r="EC161" s="57"/>
      <c r="ED161" s="57"/>
      <c r="EE161" s="57"/>
      <c r="EF161" s="57"/>
      <c r="EG161" s="57"/>
      <c r="EH161" s="57"/>
      <c r="EI161" s="57"/>
      <c r="EJ161" s="57"/>
      <c r="EK161" s="57"/>
      <c r="EL161" s="57"/>
      <c r="EM161" s="57"/>
      <c r="EN161" s="57"/>
      <c r="EO161" s="57"/>
      <c r="EP161" s="57"/>
      <c r="EQ161" s="57"/>
      <c r="ER161" s="57"/>
      <c r="ES161" s="57"/>
      <c r="ET161" s="57"/>
      <c r="EU161" s="57"/>
      <c r="EV161" s="57"/>
      <c r="EW161" s="57"/>
      <c r="EX161" s="57"/>
      <c r="EY161" s="57"/>
      <c r="EZ161" s="57"/>
      <c r="FA161" s="57"/>
      <c r="FB161" s="57"/>
      <c r="FC161" s="57"/>
      <c r="FD161" s="57"/>
      <c r="FE161" s="57"/>
      <c r="FF161" s="57"/>
      <c r="FG161" s="57"/>
      <c r="FH161" s="57"/>
      <c r="FI161" s="57"/>
      <c r="FJ161" s="57"/>
      <c r="FK161" s="57"/>
      <c r="FL161" s="57"/>
      <c r="FM161" s="57"/>
      <c r="FN161" s="57"/>
      <c r="FO161" s="57"/>
      <c r="FP161" s="57"/>
      <c r="FQ161" s="57"/>
      <c r="FR161" s="57"/>
      <c r="FS161" s="57"/>
    </row>
    <row r="162" spans="1:175" x14ac:dyDescent="0.2">
      <c r="A162" s="58">
        <v>6</v>
      </c>
      <c r="B162" s="22">
        <v>0</v>
      </c>
      <c r="C162" s="7">
        <v>1</v>
      </c>
      <c r="D162" s="7">
        <v>2</v>
      </c>
      <c r="E162" s="23">
        <v>0</v>
      </c>
      <c r="F162" s="15"/>
      <c r="G162" s="7">
        <v>0</v>
      </c>
      <c r="H162" s="7">
        <v>1</v>
      </c>
      <c r="I162" s="7">
        <v>0</v>
      </c>
      <c r="J162" s="23">
        <v>0</v>
      </c>
      <c r="K162" s="15"/>
      <c r="L162" s="7">
        <v>0</v>
      </c>
      <c r="M162" s="7">
        <v>0</v>
      </c>
      <c r="N162" s="7">
        <v>0</v>
      </c>
      <c r="O162" s="23">
        <v>0</v>
      </c>
      <c r="P162" s="15"/>
      <c r="Q162" s="7" t="s">
        <v>68</v>
      </c>
      <c r="R162" s="7" t="s">
        <v>68</v>
      </c>
      <c r="S162" s="7" t="s">
        <v>68</v>
      </c>
      <c r="T162" s="7" t="s">
        <v>68</v>
      </c>
      <c r="U162" s="18"/>
      <c r="V162" s="56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  <c r="BU162" s="57"/>
      <c r="BV162" s="57"/>
      <c r="BW162" s="57"/>
      <c r="BX162" s="57"/>
      <c r="BY162" s="57"/>
      <c r="BZ162" s="57"/>
      <c r="CA162" s="57"/>
      <c r="CB162" s="57"/>
      <c r="CC162" s="57"/>
      <c r="CD162" s="57"/>
      <c r="CE162" s="57"/>
      <c r="CF162" s="57"/>
      <c r="CG162" s="57"/>
      <c r="CH162" s="57"/>
      <c r="CI162" s="57"/>
      <c r="CJ162" s="57"/>
      <c r="CK162" s="57"/>
      <c r="CL162" s="57"/>
      <c r="CM162" s="57"/>
      <c r="CN162" s="57"/>
      <c r="CO162" s="57"/>
      <c r="CP162" s="57"/>
      <c r="CQ162" s="57"/>
      <c r="CR162" s="57"/>
      <c r="CS162" s="57"/>
      <c r="CT162" s="57"/>
      <c r="CU162" s="57"/>
      <c r="CV162" s="57"/>
      <c r="CW162" s="57"/>
      <c r="CX162" s="57"/>
      <c r="CY162" s="57"/>
      <c r="CZ162" s="57"/>
      <c r="DA162" s="57"/>
      <c r="DB162" s="57"/>
      <c r="DC162" s="57"/>
      <c r="DD162" s="57"/>
      <c r="DE162" s="57"/>
      <c r="DF162" s="57"/>
      <c r="DG162" s="57"/>
      <c r="DH162" s="57"/>
      <c r="DI162" s="57"/>
      <c r="DJ162" s="57"/>
      <c r="DK162" s="57"/>
      <c r="DL162" s="57"/>
      <c r="DM162" s="57"/>
      <c r="DN162" s="57"/>
      <c r="DO162" s="57"/>
      <c r="DP162" s="57"/>
      <c r="DQ162" s="57"/>
      <c r="DR162" s="57"/>
      <c r="DS162" s="57"/>
      <c r="DT162" s="57"/>
      <c r="DU162" s="57"/>
      <c r="DV162" s="57"/>
      <c r="DW162" s="57"/>
      <c r="DX162" s="57"/>
      <c r="DY162" s="57"/>
      <c r="DZ162" s="57"/>
      <c r="EA162" s="57"/>
      <c r="EB162" s="57"/>
      <c r="EC162" s="57"/>
      <c r="ED162" s="57"/>
      <c r="EE162" s="57"/>
      <c r="EF162" s="57"/>
      <c r="EG162" s="57"/>
      <c r="EH162" s="57"/>
      <c r="EI162" s="57"/>
      <c r="EJ162" s="57"/>
      <c r="EK162" s="57"/>
      <c r="EL162" s="57"/>
      <c r="EM162" s="57"/>
      <c r="EN162" s="57"/>
      <c r="EO162" s="57"/>
      <c r="EP162" s="57"/>
      <c r="EQ162" s="57"/>
      <c r="ER162" s="57"/>
      <c r="ES162" s="57"/>
      <c r="ET162" s="57"/>
      <c r="EU162" s="57"/>
      <c r="EV162" s="57"/>
      <c r="EW162" s="57"/>
      <c r="EX162" s="57"/>
      <c r="EY162" s="57"/>
      <c r="EZ162" s="57"/>
      <c r="FA162" s="57"/>
      <c r="FB162" s="57"/>
      <c r="FC162" s="57"/>
      <c r="FD162" s="57"/>
      <c r="FE162" s="57"/>
      <c r="FF162" s="57"/>
      <c r="FG162" s="57"/>
      <c r="FH162" s="57"/>
      <c r="FI162" s="57"/>
      <c r="FJ162" s="57"/>
      <c r="FK162" s="57"/>
      <c r="FL162" s="57"/>
      <c r="FM162" s="57"/>
      <c r="FN162" s="57"/>
      <c r="FO162" s="57"/>
      <c r="FP162" s="57"/>
      <c r="FQ162" s="57"/>
      <c r="FR162" s="57"/>
      <c r="FS162" s="57"/>
    </row>
    <row r="163" spans="1:175" x14ac:dyDescent="0.2">
      <c r="A163" s="58">
        <v>7</v>
      </c>
      <c r="B163" s="22">
        <v>0</v>
      </c>
      <c r="C163" s="7">
        <v>1</v>
      </c>
      <c r="D163" s="7">
        <v>0</v>
      </c>
      <c r="E163" s="23">
        <v>0</v>
      </c>
      <c r="F163" s="15"/>
      <c r="G163" s="7">
        <v>0</v>
      </c>
      <c r="H163" s="7">
        <v>0</v>
      </c>
      <c r="I163" s="7">
        <v>1</v>
      </c>
      <c r="J163" s="23">
        <v>0</v>
      </c>
      <c r="K163" s="15"/>
      <c r="L163" s="7">
        <v>0</v>
      </c>
      <c r="M163" s="7">
        <v>0</v>
      </c>
      <c r="N163" s="7">
        <v>1</v>
      </c>
      <c r="O163" s="23">
        <v>0</v>
      </c>
      <c r="P163" s="15"/>
      <c r="Q163" s="7" t="s">
        <v>68</v>
      </c>
      <c r="R163" s="7" t="s">
        <v>68</v>
      </c>
      <c r="S163" s="7" t="s">
        <v>68</v>
      </c>
      <c r="T163" s="7" t="s">
        <v>68</v>
      </c>
      <c r="U163" s="18"/>
      <c r="V163" s="56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  <c r="BG163" s="57"/>
      <c r="BH163" s="57"/>
      <c r="BI163" s="57"/>
      <c r="BJ163" s="57"/>
      <c r="BK163" s="57"/>
      <c r="BL163" s="57"/>
      <c r="BM163" s="57"/>
      <c r="BN163" s="57"/>
      <c r="BO163" s="57"/>
      <c r="BP163" s="57"/>
      <c r="BQ163" s="57"/>
      <c r="BR163" s="57"/>
      <c r="BS163" s="57"/>
      <c r="BT163" s="57"/>
      <c r="BU163" s="57"/>
      <c r="BV163" s="57"/>
      <c r="BW163" s="57"/>
      <c r="BX163" s="57"/>
      <c r="BY163" s="57"/>
      <c r="BZ163" s="57"/>
      <c r="CA163" s="57"/>
      <c r="CB163" s="57"/>
      <c r="CC163" s="57"/>
      <c r="CD163" s="57"/>
      <c r="CE163" s="57"/>
      <c r="CF163" s="57"/>
      <c r="CG163" s="57"/>
      <c r="CH163" s="57"/>
      <c r="CI163" s="57"/>
      <c r="CJ163" s="57"/>
      <c r="CK163" s="57"/>
      <c r="CL163" s="57"/>
      <c r="CM163" s="57"/>
      <c r="CN163" s="57"/>
      <c r="CO163" s="57"/>
      <c r="CP163" s="57"/>
      <c r="CQ163" s="57"/>
      <c r="CR163" s="57"/>
      <c r="CS163" s="57"/>
      <c r="CT163" s="57"/>
      <c r="CU163" s="57"/>
      <c r="CV163" s="57"/>
      <c r="CW163" s="57"/>
      <c r="CX163" s="57"/>
      <c r="CY163" s="57"/>
      <c r="CZ163" s="57"/>
      <c r="DA163" s="57"/>
      <c r="DB163" s="57"/>
      <c r="DC163" s="57"/>
      <c r="DD163" s="57"/>
      <c r="DE163" s="57"/>
      <c r="DF163" s="57"/>
      <c r="DG163" s="57"/>
      <c r="DH163" s="57"/>
      <c r="DI163" s="57"/>
      <c r="DJ163" s="57"/>
      <c r="DK163" s="57"/>
      <c r="DL163" s="57"/>
      <c r="DM163" s="57"/>
      <c r="DN163" s="57"/>
      <c r="DO163" s="57"/>
      <c r="DP163" s="57"/>
      <c r="DQ163" s="57"/>
      <c r="DR163" s="57"/>
      <c r="DS163" s="57"/>
      <c r="DT163" s="57"/>
      <c r="DU163" s="57"/>
      <c r="DV163" s="57"/>
      <c r="DW163" s="57"/>
      <c r="DX163" s="57"/>
      <c r="DY163" s="57"/>
      <c r="DZ163" s="57"/>
      <c r="EA163" s="57"/>
      <c r="EB163" s="57"/>
      <c r="EC163" s="57"/>
      <c r="ED163" s="57"/>
      <c r="EE163" s="57"/>
      <c r="EF163" s="57"/>
      <c r="EG163" s="57"/>
      <c r="EH163" s="57"/>
      <c r="EI163" s="57"/>
      <c r="EJ163" s="57"/>
      <c r="EK163" s="57"/>
      <c r="EL163" s="57"/>
      <c r="EM163" s="57"/>
      <c r="EN163" s="57"/>
      <c r="EO163" s="57"/>
      <c r="EP163" s="57"/>
      <c r="EQ163" s="57"/>
      <c r="ER163" s="57"/>
      <c r="ES163" s="57"/>
      <c r="ET163" s="57"/>
      <c r="EU163" s="57"/>
      <c r="EV163" s="57"/>
      <c r="EW163" s="57"/>
      <c r="EX163" s="57"/>
      <c r="EY163" s="57"/>
      <c r="EZ163" s="57"/>
      <c r="FA163" s="57"/>
      <c r="FB163" s="57"/>
      <c r="FC163" s="57"/>
      <c r="FD163" s="57"/>
      <c r="FE163" s="57"/>
      <c r="FF163" s="57"/>
      <c r="FG163" s="57"/>
      <c r="FH163" s="57"/>
      <c r="FI163" s="57"/>
      <c r="FJ163" s="57"/>
      <c r="FK163" s="57"/>
      <c r="FL163" s="57"/>
      <c r="FM163" s="57"/>
      <c r="FN163" s="57"/>
      <c r="FO163" s="57"/>
      <c r="FP163" s="57"/>
      <c r="FQ163" s="57"/>
      <c r="FR163" s="57"/>
      <c r="FS163" s="57"/>
    </row>
    <row r="164" spans="1:175" x14ac:dyDescent="0.2">
      <c r="A164" s="58">
        <v>8</v>
      </c>
      <c r="B164" s="22">
        <v>0</v>
      </c>
      <c r="C164" s="7">
        <v>0</v>
      </c>
      <c r="D164" s="7">
        <v>1</v>
      </c>
      <c r="E164" s="23">
        <v>0</v>
      </c>
      <c r="F164" s="15"/>
      <c r="G164" s="7">
        <v>0</v>
      </c>
      <c r="H164" s="7">
        <v>0</v>
      </c>
      <c r="I164" s="7">
        <v>0</v>
      </c>
      <c r="J164" s="23">
        <v>0</v>
      </c>
      <c r="K164" s="15"/>
      <c r="L164" s="7">
        <v>0</v>
      </c>
      <c r="M164" s="7">
        <v>0</v>
      </c>
      <c r="N164" s="7">
        <v>0</v>
      </c>
      <c r="O164" s="23">
        <v>0</v>
      </c>
      <c r="P164" s="15"/>
      <c r="Q164" s="7" t="s">
        <v>68</v>
      </c>
      <c r="R164" s="7" t="s">
        <v>68</v>
      </c>
      <c r="S164" s="7" t="s">
        <v>68</v>
      </c>
      <c r="T164" s="7" t="s">
        <v>68</v>
      </c>
      <c r="U164" s="18"/>
      <c r="V164" s="56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7"/>
      <c r="BZ164" s="57"/>
      <c r="CA164" s="57"/>
      <c r="CB164" s="57"/>
      <c r="CC164" s="57"/>
      <c r="CD164" s="57"/>
      <c r="CE164" s="57"/>
      <c r="CF164" s="57"/>
      <c r="CG164" s="57"/>
      <c r="CH164" s="57"/>
      <c r="CI164" s="57"/>
      <c r="CJ164" s="57"/>
      <c r="CK164" s="57"/>
      <c r="CL164" s="57"/>
      <c r="CM164" s="57"/>
      <c r="CN164" s="57"/>
      <c r="CO164" s="57"/>
      <c r="CP164" s="57"/>
      <c r="CQ164" s="57"/>
      <c r="CR164" s="57"/>
      <c r="CS164" s="57"/>
      <c r="CT164" s="57"/>
      <c r="CU164" s="57"/>
      <c r="CV164" s="57"/>
      <c r="CW164" s="57"/>
      <c r="CX164" s="57"/>
      <c r="CY164" s="57"/>
      <c r="CZ164" s="57"/>
      <c r="DA164" s="57"/>
      <c r="DB164" s="57"/>
      <c r="DC164" s="57"/>
      <c r="DD164" s="57"/>
      <c r="DE164" s="57"/>
      <c r="DF164" s="57"/>
      <c r="DG164" s="57"/>
      <c r="DH164" s="57"/>
      <c r="DI164" s="57"/>
      <c r="DJ164" s="57"/>
      <c r="DK164" s="57"/>
      <c r="DL164" s="57"/>
      <c r="DM164" s="57"/>
      <c r="DN164" s="57"/>
      <c r="DO164" s="57"/>
      <c r="DP164" s="57"/>
      <c r="DQ164" s="57"/>
      <c r="DR164" s="57"/>
      <c r="DS164" s="57"/>
      <c r="DT164" s="57"/>
      <c r="DU164" s="57"/>
      <c r="DV164" s="57"/>
      <c r="DW164" s="57"/>
      <c r="DX164" s="57"/>
      <c r="DY164" s="57"/>
      <c r="DZ164" s="57"/>
      <c r="EA164" s="57"/>
      <c r="EB164" s="57"/>
      <c r="EC164" s="57"/>
      <c r="ED164" s="57"/>
      <c r="EE164" s="57"/>
      <c r="EF164" s="57"/>
      <c r="EG164" s="57"/>
      <c r="EH164" s="57"/>
      <c r="EI164" s="57"/>
      <c r="EJ164" s="57"/>
      <c r="EK164" s="57"/>
      <c r="EL164" s="57"/>
      <c r="EM164" s="57"/>
      <c r="EN164" s="57"/>
      <c r="EO164" s="57"/>
      <c r="EP164" s="57"/>
      <c r="EQ164" s="57"/>
      <c r="ER164" s="57"/>
      <c r="ES164" s="57"/>
      <c r="ET164" s="57"/>
      <c r="EU164" s="57"/>
      <c r="EV164" s="57"/>
      <c r="EW164" s="57"/>
      <c r="EX164" s="57"/>
      <c r="EY164" s="57"/>
      <c r="EZ164" s="57"/>
      <c r="FA164" s="57"/>
      <c r="FB164" s="57"/>
      <c r="FC164" s="57"/>
      <c r="FD164" s="57"/>
      <c r="FE164" s="57"/>
      <c r="FF164" s="57"/>
      <c r="FG164" s="57"/>
      <c r="FH164" s="57"/>
      <c r="FI164" s="57"/>
      <c r="FJ164" s="57"/>
      <c r="FK164" s="57"/>
      <c r="FL164" s="57"/>
      <c r="FM164" s="57"/>
      <c r="FN164" s="57"/>
      <c r="FO164" s="57"/>
      <c r="FP164" s="57"/>
      <c r="FQ164" s="57"/>
      <c r="FR164" s="57"/>
      <c r="FS164" s="57"/>
    </row>
    <row r="165" spans="1:175" x14ac:dyDescent="0.2">
      <c r="A165" s="59"/>
      <c r="B165" s="60" t="s">
        <v>64</v>
      </c>
      <c r="C165" s="36" t="s">
        <v>64</v>
      </c>
      <c r="D165" s="36" t="s">
        <v>64</v>
      </c>
      <c r="E165" s="36" t="s">
        <v>64</v>
      </c>
      <c r="F165" s="19"/>
      <c r="G165" s="60" t="s">
        <v>64</v>
      </c>
      <c r="H165" s="36" t="s">
        <v>64</v>
      </c>
      <c r="I165" s="36" t="s">
        <v>64</v>
      </c>
      <c r="J165" s="36" t="s">
        <v>64</v>
      </c>
      <c r="K165" s="19"/>
      <c r="L165" s="60" t="s">
        <v>64</v>
      </c>
      <c r="M165" s="36" t="s">
        <v>64</v>
      </c>
      <c r="N165" s="36" t="s">
        <v>64</v>
      </c>
      <c r="O165" s="36" t="s">
        <v>64</v>
      </c>
      <c r="P165" s="19"/>
      <c r="Q165" s="60" t="s">
        <v>64</v>
      </c>
      <c r="R165" s="36" t="s">
        <v>64</v>
      </c>
      <c r="S165" s="36" t="s">
        <v>64</v>
      </c>
      <c r="T165" s="36" t="s">
        <v>64</v>
      </c>
      <c r="U165" s="20"/>
      <c r="V165" s="56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  <c r="BU165" s="57"/>
      <c r="BV165" s="57"/>
      <c r="BW165" s="57"/>
      <c r="BX165" s="57"/>
      <c r="BY165" s="57"/>
      <c r="BZ165" s="57"/>
      <c r="CA165" s="57"/>
      <c r="CB165" s="57"/>
      <c r="CC165" s="57"/>
      <c r="CD165" s="57"/>
      <c r="CE165" s="57"/>
      <c r="CF165" s="57"/>
      <c r="CG165" s="57"/>
      <c r="CH165" s="57"/>
      <c r="CI165" s="57"/>
      <c r="CJ165" s="57"/>
      <c r="CK165" s="57"/>
      <c r="CL165" s="57"/>
      <c r="CM165" s="57"/>
      <c r="CN165" s="57"/>
      <c r="CO165" s="57"/>
      <c r="CP165" s="57"/>
      <c r="CQ165" s="57"/>
      <c r="CR165" s="57"/>
      <c r="CS165" s="57"/>
      <c r="CT165" s="57"/>
      <c r="CU165" s="57"/>
      <c r="CV165" s="57"/>
      <c r="CW165" s="57"/>
      <c r="CX165" s="57"/>
      <c r="CY165" s="57"/>
      <c r="CZ165" s="57"/>
      <c r="DA165" s="57"/>
      <c r="DB165" s="57"/>
      <c r="DC165" s="57"/>
      <c r="DD165" s="57"/>
      <c r="DE165" s="57"/>
      <c r="DF165" s="57"/>
      <c r="DG165" s="57"/>
      <c r="DH165" s="57"/>
      <c r="DI165" s="57"/>
      <c r="DJ165" s="57"/>
      <c r="DK165" s="57"/>
      <c r="DL165" s="57"/>
      <c r="DM165" s="57"/>
      <c r="DN165" s="57"/>
      <c r="DO165" s="57"/>
      <c r="DP165" s="57"/>
      <c r="DQ165" s="57"/>
      <c r="DR165" s="57"/>
      <c r="DS165" s="57"/>
      <c r="DT165" s="57"/>
      <c r="DU165" s="57"/>
      <c r="DV165" s="57"/>
      <c r="DW165" s="57"/>
      <c r="DX165" s="57"/>
      <c r="DY165" s="57"/>
      <c r="DZ165" s="57"/>
      <c r="EA165" s="57"/>
      <c r="EB165" s="57"/>
      <c r="EC165" s="57"/>
      <c r="ED165" s="57"/>
      <c r="EE165" s="57"/>
      <c r="EF165" s="57"/>
      <c r="EG165" s="57"/>
      <c r="EH165" s="57"/>
      <c r="EI165" s="57"/>
      <c r="EJ165" s="57"/>
      <c r="EK165" s="57"/>
      <c r="EL165" s="57"/>
      <c r="EM165" s="57"/>
      <c r="EN165" s="57"/>
      <c r="EO165" s="57"/>
      <c r="EP165" s="57"/>
      <c r="EQ165" s="57"/>
      <c r="ER165" s="57"/>
      <c r="ES165" s="57"/>
      <c r="ET165" s="57"/>
      <c r="EU165" s="57"/>
      <c r="EV165" s="57"/>
      <c r="EW165" s="57"/>
      <c r="EX165" s="57"/>
      <c r="EY165" s="57"/>
      <c r="EZ165" s="57"/>
      <c r="FA165" s="57"/>
      <c r="FB165" s="57"/>
      <c r="FC165" s="57"/>
      <c r="FD165" s="57"/>
      <c r="FE165" s="57"/>
      <c r="FF165" s="57"/>
      <c r="FG165" s="57"/>
      <c r="FH165" s="57"/>
      <c r="FI165" s="57"/>
      <c r="FJ165" s="57"/>
      <c r="FK165" s="57"/>
      <c r="FL165" s="57"/>
      <c r="FM165" s="57"/>
      <c r="FN165" s="57"/>
      <c r="FO165" s="57"/>
      <c r="FP165" s="57"/>
      <c r="FQ165" s="57"/>
      <c r="FR165" s="57"/>
      <c r="FS165" s="57"/>
    </row>
    <row r="166" spans="1:175" x14ac:dyDescent="0.2">
      <c r="A166" s="61"/>
      <c r="B166" s="62">
        <f>SUM(B157:B164)</f>
        <v>2</v>
      </c>
      <c r="C166" s="62">
        <f t="shared" ref="C166:E166" si="56">SUM(C157:C164)</f>
        <v>3</v>
      </c>
      <c r="D166" s="62">
        <f t="shared" si="56"/>
        <v>7</v>
      </c>
      <c r="E166" s="62">
        <f t="shared" si="56"/>
        <v>2</v>
      </c>
      <c r="F166" s="33"/>
      <c r="G166" s="62">
        <f>SUM(G157:G164)</f>
        <v>1</v>
      </c>
      <c r="H166" s="62">
        <f t="shared" ref="H166:J166" si="57">SUM(H157:H164)</f>
        <v>2</v>
      </c>
      <c r="I166" s="62">
        <f t="shared" si="57"/>
        <v>2</v>
      </c>
      <c r="J166" s="62">
        <f t="shared" si="57"/>
        <v>1</v>
      </c>
      <c r="K166" s="33"/>
      <c r="L166" s="62">
        <f>SUM(L157:L164)</f>
        <v>0</v>
      </c>
      <c r="M166" s="62">
        <f t="shared" ref="M166:O166" si="58">SUM(M157:M164)</f>
        <v>0</v>
      </c>
      <c r="N166" s="62">
        <f t="shared" si="58"/>
        <v>1</v>
      </c>
      <c r="O166" s="62">
        <f t="shared" si="58"/>
        <v>2</v>
      </c>
      <c r="P166" s="33"/>
      <c r="Q166" s="62">
        <f>SUM(Q157:Q164)</f>
        <v>0</v>
      </c>
      <c r="R166" s="62">
        <f t="shared" ref="R166:T166" si="59">SUM(R157:R164)</f>
        <v>0</v>
      </c>
      <c r="S166" s="62">
        <f t="shared" si="59"/>
        <v>0</v>
      </c>
      <c r="T166" s="62">
        <f t="shared" si="59"/>
        <v>0</v>
      </c>
      <c r="U166" s="34"/>
      <c r="V166" s="56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7"/>
      <c r="BZ166" s="57"/>
      <c r="CA166" s="57"/>
      <c r="CB166" s="57"/>
      <c r="CC166" s="57"/>
      <c r="CD166" s="57"/>
      <c r="CE166" s="57"/>
      <c r="CF166" s="57"/>
      <c r="CG166" s="57"/>
      <c r="CH166" s="57"/>
      <c r="CI166" s="57"/>
      <c r="CJ166" s="57"/>
      <c r="CK166" s="57"/>
      <c r="CL166" s="57"/>
      <c r="CM166" s="57"/>
      <c r="CN166" s="57"/>
      <c r="CO166" s="57"/>
      <c r="CP166" s="57"/>
      <c r="CQ166" s="57"/>
      <c r="CR166" s="57"/>
      <c r="CS166" s="57"/>
      <c r="CT166" s="57"/>
      <c r="CU166" s="57"/>
      <c r="CV166" s="57"/>
      <c r="CW166" s="57"/>
      <c r="CX166" s="57"/>
      <c r="CY166" s="57"/>
      <c r="CZ166" s="57"/>
      <c r="DA166" s="57"/>
      <c r="DB166" s="57"/>
      <c r="DC166" s="57"/>
      <c r="DD166" s="57"/>
      <c r="DE166" s="57"/>
      <c r="DF166" s="57"/>
      <c r="DG166" s="57"/>
      <c r="DH166" s="57"/>
      <c r="DI166" s="57"/>
      <c r="DJ166" s="57"/>
      <c r="DK166" s="57"/>
      <c r="DL166" s="57"/>
      <c r="DM166" s="57"/>
      <c r="DN166" s="57"/>
      <c r="DO166" s="57"/>
      <c r="DP166" s="57"/>
      <c r="DQ166" s="57"/>
      <c r="DR166" s="57"/>
      <c r="DS166" s="57"/>
      <c r="DT166" s="57"/>
      <c r="DU166" s="57"/>
      <c r="DV166" s="57"/>
      <c r="DW166" s="57"/>
      <c r="DX166" s="57"/>
      <c r="DY166" s="57"/>
      <c r="DZ166" s="57"/>
      <c r="EA166" s="57"/>
      <c r="EB166" s="57"/>
      <c r="EC166" s="57"/>
      <c r="ED166" s="57"/>
      <c r="EE166" s="57"/>
      <c r="EF166" s="57"/>
      <c r="EG166" s="57"/>
      <c r="EH166" s="57"/>
      <c r="EI166" s="57"/>
      <c r="EJ166" s="57"/>
      <c r="EK166" s="57"/>
      <c r="EL166" s="57"/>
      <c r="EM166" s="57"/>
      <c r="EN166" s="57"/>
      <c r="EO166" s="57"/>
      <c r="EP166" s="57"/>
      <c r="EQ166" s="57"/>
      <c r="ER166" s="57"/>
      <c r="ES166" s="57"/>
      <c r="ET166" s="57"/>
      <c r="EU166" s="57"/>
      <c r="EV166" s="57"/>
      <c r="EW166" s="57"/>
      <c r="EX166" s="57"/>
      <c r="EY166" s="57"/>
      <c r="EZ166" s="57"/>
      <c r="FA166" s="57"/>
      <c r="FB166" s="57"/>
      <c r="FC166" s="57"/>
      <c r="FD166" s="57"/>
      <c r="FE166" s="57"/>
      <c r="FF166" s="57"/>
      <c r="FG166" s="57"/>
      <c r="FH166" s="57"/>
      <c r="FI166" s="57"/>
      <c r="FJ166" s="57"/>
      <c r="FK166" s="57"/>
      <c r="FL166" s="57"/>
      <c r="FM166" s="57"/>
      <c r="FN166" s="57"/>
      <c r="FO166" s="57"/>
      <c r="FP166" s="57"/>
      <c r="FQ166" s="57"/>
      <c r="FR166" s="57"/>
      <c r="FS166" s="57"/>
    </row>
    <row r="167" spans="1:175" x14ac:dyDescent="0.2">
      <c r="A167" s="53">
        <v>20</v>
      </c>
      <c r="B167" s="54" t="s">
        <v>59</v>
      </c>
      <c r="C167" s="53" t="s">
        <v>60</v>
      </c>
      <c r="D167" s="53" t="s">
        <v>61</v>
      </c>
      <c r="E167" s="55" t="s">
        <v>62</v>
      </c>
      <c r="F167" s="15"/>
      <c r="G167" s="53" t="s">
        <v>59</v>
      </c>
      <c r="H167" s="53" t="s">
        <v>60</v>
      </c>
      <c r="I167" s="53" t="s">
        <v>61</v>
      </c>
      <c r="J167" s="55" t="s">
        <v>62</v>
      </c>
      <c r="K167" s="15"/>
      <c r="L167" s="53" t="s">
        <v>59</v>
      </c>
      <c r="M167" s="53" t="s">
        <v>60</v>
      </c>
      <c r="N167" s="53" t="s">
        <v>61</v>
      </c>
      <c r="O167" s="55" t="s">
        <v>62</v>
      </c>
      <c r="P167" s="15"/>
      <c r="Q167" s="53" t="s">
        <v>59</v>
      </c>
      <c r="R167" s="53" t="s">
        <v>60</v>
      </c>
      <c r="S167" s="53" t="s">
        <v>61</v>
      </c>
      <c r="T167" s="55" t="s">
        <v>62</v>
      </c>
      <c r="U167" s="18"/>
      <c r="V167" s="56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57"/>
      <c r="BS167" s="57"/>
      <c r="BT167" s="57"/>
      <c r="BU167" s="57"/>
      <c r="BV167" s="57"/>
      <c r="BW167" s="57"/>
      <c r="BX167" s="57"/>
      <c r="BY167" s="57"/>
      <c r="BZ167" s="57"/>
      <c r="CA167" s="57"/>
      <c r="CB167" s="57"/>
      <c r="CC167" s="57"/>
      <c r="CD167" s="57"/>
      <c r="CE167" s="57"/>
      <c r="CF167" s="57"/>
      <c r="CG167" s="57"/>
      <c r="CH167" s="57"/>
      <c r="CI167" s="57"/>
      <c r="CJ167" s="57"/>
      <c r="CK167" s="57"/>
      <c r="CL167" s="57"/>
      <c r="CM167" s="57"/>
      <c r="CN167" s="57"/>
      <c r="CO167" s="57"/>
      <c r="CP167" s="57"/>
      <c r="CQ167" s="57"/>
      <c r="CR167" s="57"/>
      <c r="CS167" s="57"/>
      <c r="CT167" s="57"/>
      <c r="CU167" s="57"/>
      <c r="CV167" s="57"/>
      <c r="CW167" s="57"/>
      <c r="CX167" s="57"/>
      <c r="CY167" s="57"/>
      <c r="CZ167" s="57"/>
      <c r="DA167" s="57"/>
      <c r="DB167" s="57"/>
      <c r="DC167" s="57"/>
      <c r="DD167" s="57"/>
      <c r="DE167" s="57"/>
      <c r="DF167" s="57"/>
      <c r="DG167" s="57"/>
      <c r="DH167" s="57"/>
      <c r="DI167" s="57"/>
      <c r="DJ167" s="57"/>
      <c r="DK167" s="57"/>
      <c r="DL167" s="57"/>
      <c r="DM167" s="57"/>
      <c r="DN167" s="57"/>
      <c r="DO167" s="57"/>
      <c r="DP167" s="57"/>
      <c r="DQ167" s="57"/>
      <c r="DR167" s="57"/>
      <c r="DS167" s="57"/>
      <c r="DT167" s="57"/>
      <c r="DU167" s="57"/>
      <c r="DV167" s="57"/>
      <c r="DW167" s="57"/>
      <c r="DX167" s="57"/>
      <c r="DY167" s="57"/>
      <c r="DZ167" s="57"/>
      <c r="EA167" s="57"/>
      <c r="EB167" s="57"/>
      <c r="EC167" s="57"/>
      <c r="ED167" s="57"/>
      <c r="EE167" s="57"/>
      <c r="EF167" s="57"/>
      <c r="EG167" s="57"/>
      <c r="EH167" s="57"/>
      <c r="EI167" s="57"/>
      <c r="EJ167" s="57"/>
      <c r="EK167" s="57"/>
      <c r="EL167" s="57"/>
      <c r="EM167" s="57"/>
      <c r="EN167" s="57"/>
      <c r="EO167" s="57"/>
      <c r="EP167" s="57"/>
      <c r="EQ167" s="57"/>
      <c r="ER167" s="57"/>
      <c r="ES167" s="57"/>
      <c r="ET167" s="57"/>
      <c r="EU167" s="57"/>
      <c r="EV167" s="57"/>
      <c r="EW167" s="57"/>
      <c r="EX167" s="57"/>
      <c r="EY167" s="57"/>
      <c r="EZ167" s="57"/>
      <c r="FA167" s="57"/>
      <c r="FB167" s="57"/>
      <c r="FC167" s="57"/>
      <c r="FD167" s="57"/>
      <c r="FE167" s="57"/>
      <c r="FF167" s="57"/>
      <c r="FG167" s="57"/>
      <c r="FH167" s="57"/>
      <c r="FI167" s="57"/>
      <c r="FJ167" s="57"/>
      <c r="FK167" s="57"/>
      <c r="FL167" s="57"/>
      <c r="FM167" s="57"/>
      <c r="FN167" s="57"/>
      <c r="FO167" s="57"/>
      <c r="FP167" s="57"/>
      <c r="FQ167" s="57"/>
      <c r="FR167" s="57"/>
      <c r="FS167" s="57"/>
    </row>
    <row r="168" spans="1:175" x14ac:dyDescent="0.2">
      <c r="A168" s="58">
        <v>1</v>
      </c>
      <c r="B168" s="22">
        <v>0</v>
      </c>
      <c r="C168" s="7">
        <v>2</v>
      </c>
      <c r="D168" s="7">
        <v>3</v>
      </c>
      <c r="E168" s="23">
        <v>2</v>
      </c>
      <c r="F168" s="19" t="s">
        <v>63</v>
      </c>
      <c r="G168" s="7">
        <v>1</v>
      </c>
      <c r="H168" s="7">
        <v>0</v>
      </c>
      <c r="I168" s="7">
        <v>1</v>
      </c>
      <c r="J168" s="23">
        <v>0</v>
      </c>
      <c r="K168" s="19" t="s">
        <v>63</v>
      </c>
      <c r="L168" s="7">
        <v>0</v>
      </c>
      <c r="M168" s="7">
        <v>2</v>
      </c>
      <c r="N168" s="7">
        <v>1</v>
      </c>
      <c r="O168" s="23">
        <v>3</v>
      </c>
      <c r="P168" s="19" t="s">
        <v>63</v>
      </c>
      <c r="Q168" s="7">
        <v>0</v>
      </c>
      <c r="R168" s="7">
        <v>1</v>
      </c>
      <c r="S168" s="7">
        <v>0</v>
      </c>
      <c r="T168" s="23">
        <v>0</v>
      </c>
      <c r="U168" s="20" t="s">
        <v>63</v>
      </c>
      <c r="V168" s="56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  <c r="BV168" s="57"/>
      <c r="BW168" s="57"/>
      <c r="BX168" s="57"/>
      <c r="BY168" s="57"/>
      <c r="BZ168" s="57"/>
      <c r="CA168" s="57"/>
      <c r="CB168" s="57"/>
      <c r="CC168" s="57"/>
      <c r="CD168" s="57"/>
      <c r="CE168" s="57"/>
      <c r="CF168" s="57"/>
      <c r="CG168" s="57"/>
      <c r="CH168" s="57"/>
      <c r="CI168" s="57"/>
      <c r="CJ168" s="57"/>
      <c r="CK168" s="57"/>
      <c r="CL168" s="57"/>
      <c r="CM168" s="57"/>
      <c r="CN168" s="57"/>
      <c r="CO168" s="57"/>
      <c r="CP168" s="57"/>
      <c r="CQ168" s="57"/>
      <c r="CR168" s="57"/>
      <c r="CS168" s="57"/>
      <c r="CT168" s="57"/>
      <c r="CU168" s="57"/>
      <c r="CV168" s="57"/>
      <c r="CW168" s="57"/>
      <c r="CX168" s="57"/>
      <c r="CY168" s="57"/>
      <c r="CZ168" s="57"/>
      <c r="DA168" s="57"/>
      <c r="DB168" s="57"/>
      <c r="DC168" s="57"/>
      <c r="DD168" s="57"/>
      <c r="DE168" s="57"/>
      <c r="DF168" s="57"/>
      <c r="DG168" s="57"/>
      <c r="DH168" s="57"/>
      <c r="DI168" s="57"/>
      <c r="DJ168" s="57"/>
      <c r="DK168" s="57"/>
      <c r="DL168" s="57"/>
      <c r="DM168" s="57"/>
      <c r="DN168" s="57"/>
      <c r="DO168" s="57"/>
      <c r="DP168" s="57"/>
      <c r="DQ168" s="57"/>
      <c r="DR168" s="57"/>
      <c r="DS168" s="57"/>
      <c r="DT168" s="57"/>
      <c r="DU168" s="57"/>
      <c r="DV168" s="57"/>
      <c r="DW168" s="57"/>
      <c r="DX168" s="57"/>
      <c r="DY168" s="57"/>
      <c r="DZ168" s="57"/>
      <c r="EA168" s="57"/>
      <c r="EB168" s="57"/>
      <c r="EC168" s="57"/>
      <c r="ED168" s="57"/>
      <c r="EE168" s="57"/>
      <c r="EF168" s="57"/>
      <c r="EG168" s="57"/>
      <c r="EH168" s="57"/>
      <c r="EI168" s="57"/>
      <c r="EJ168" s="57"/>
      <c r="EK168" s="57"/>
      <c r="EL168" s="57"/>
      <c r="EM168" s="57"/>
      <c r="EN168" s="57"/>
      <c r="EO168" s="57"/>
      <c r="EP168" s="57"/>
      <c r="EQ168" s="57"/>
      <c r="ER168" s="57"/>
      <c r="ES168" s="57"/>
      <c r="ET168" s="57"/>
      <c r="EU168" s="57"/>
      <c r="EV168" s="57"/>
      <c r="EW168" s="57"/>
      <c r="EX168" s="57"/>
      <c r="EY168" s="57"/>
      <c r="EZ168" s="57"/>
      <c r="FA168" s="57"/>
      <c r="FB168" s="57"/>
      <c r="FC168" s="57"/>
      <c r="FD168" s="57"/>
      <c r="FE168" s="57"/>
      <c r="FF168" s="57"/>
      <c r="FG168" s="57"/>
      <c r="FH168" s="57"/>
      <c r="FI168" s="57"/>
      <c r="FJ168" s="57"/>
      <c r="FK168" s="57"/>
      <c r="FL168" s="57"/>
      <c r="FM168" s="57"/>
      <c r="FN168" s="57"/>
      <c r="FO168" s="57"/>
      <c r="FP168" s="57"/>
      <c r="FQ168" s="57"/>
      <c r="FR168" s="57"/>
      <c r="FS168" s="57"/>
    </row>
    <row r="169" spans="1:175" x14ac:dyDescent="0.2">
      <c r="A169" s="58">
        <v>2</v>
      </c>
      <c r="B169" s="22">
        <v>4</v>
      </c>
      <c r="C169" s="7">
        <v>0</v>
      </c>
      <c r="D169" s="7">
        <v>1</v>
      </c>
      <c r="E169" s="23">
        <v>4</v>
      </c>
      <c r="F169" s="21">
        <f>AVERAGE(B177:E177)</f>
        <v>19</v>
      </c>
      <c r="G169" s="7">
        <v>0</v>
      </c>
      <c r="H169" s="7">
        <v>1</v>
      </c>
      <c r="I169" s="7">
        <v>0</v>
      </c>
      <c r="J169" s="23">
        <v>0</v>
      </c>
      <c r="K169" s="21">
        <f>AVERAGE(G177:J177)</f>
        <v>10.25</v>
      </c>
      <c r="L169" s="7">
        <v>1</v>
      </c>
      <c r="M169" s="7">
        <v>5</v>
      </c>
      <c r="N169" s="7">
        <v>2</v>
      </c>
      <c r="O169" s="23">
        <v>2</v>
      </c>
      <c r="P169" s="21">
        <f>AVERAGE(L177:O177)</f>
        <v>16.5</v>
      </c>
      <c r="Q169" s="7">
        <v>1</v>
      </c>
      <c r="R169" s="7">
        <v>0</v>
      </c>
      <c r="S169" s="7">
        <v>1</v>
      </c>
      <c r="T169" s="23">
        <v>1</v>
      </c>
      <c r="U169" s="24">
        <f>AVERAGE(Q177:T177)</f>
        <v>13.5</v>
      </c>
      <c r="V169" s="56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  <c r="BV169" s="57"/>
      <c r="BW169" s="57"/>
      <c r="BX169" s="57"/>
      <c r="BY169" s="57"/>
      <c r="BZ169" s="57"/>
      <c r="CA169" s="57"/>
      <c r="CB169" s="57"/>
      <c r="CC169" s="57"/>
      <c r="CD169" s="57"/>
      <c r="CE169" s="57"/>
      <c r="CF169" s="57"/>
      <c r="CG169" s="57"/>
      <c r="CH169" s="57"/>
      <c r="CI169" s="57"/>
      <c r="CJ169" s="57"/>
      <c r="CK169" s="57"/>
      <c r="CL169" s="57"/>
      <c r="CM169" s="57"/>
      <c r="CN169" s="57"/>
      <c r="CO169" s="57"/>
      <c r="CP169" s="57"/>
      <c r="CQ169" s="57"/>
      <c r="CR169" s="57"/>
      <c r="CS169" s="57"/>
      <c r="CT169" s="57"/>
      <c r="CU169" s="57"/>
      <c r="CV169" s="57"/>
      <c r="CW169" s="57"/>
      <c r="CX169" s="57"/>
      <c r="CY169" s="57"/>
      <c r="CZ169" s="57"/>
      <c r="DA169" s="57"/>
      <c r="DB169" s="57"/>
      <c r="DC169" s="57"/>
      <c r="DD169" s="57"/>
      <c r="DE169" s="57"/>
      <c r="DF169" s="57"/>
      <c r="DG169" s="57"/>
      <c r="DH169" s="57"/>
      <c r="DI169" s="57"/>
      <c r="DJ169" s="57"/>
      <c r="DK169" s="57"/>
      <c r="DL169" s="57"/>
      <c r="DM169" s="57"/>
      <c r="DN169" s="57"/>
      <c r="DO169" s="57"/>
      <c r="DP169" s="57"/>
      <c r="DQ169" s="57"/>
      <c r="DR169" s="57"/>
      <c r="DS169" s="57"/>
      <c r="DT169" s="57"/>
      <c r="DU169" s="57"/>
      <c r="DV169" s="57"/>
      <c r="DW169" s="57"/>
      <c r="DX169" s="57"/>
      <c r="DY169" s="57"/>
      <c r="DZ169" s="57"/>
      <c r="EA169" s="57"/>
      <c r="EB169" s="57"/>
      <c r="EC169" s="57"/>
      <c r="ED169" s="57"/>
      <c r="EE169" s="57"/>
      <c r="EF169" s="57"/>
      <c r="EG169" s="57"/>
      <c r="EH169" s="57"/>
      <c r="EI169" s="57"/>
      <c r="EJ169" s="57"/>
      <c r="EK169" s="57"/>
      <c r="EL169" s="57"/>
      <c r="EM169" s="57"/>
      <c r="EN169" s="57"/>
      <c r="EO169" s="57"/>
      <c r="EP169" s="57"/>
      <c r="EQ169" s="57"/>
      <c r="ER169" s="57"/>
      <c r="ES169" s="57"/>
      <c r="ET169" s="57"/>
      <c r="EU169" s="57"/>
      <c r="EV169" s="57"/>
      <c r="EW169" s="57"/>
      <c r="EX169" s="57"/>
      <c r="EY169" s="57"/>
      <c r="EZ169" s="57"/>
      <c r="FA169" s="57"/>
      <c r="FB169" s="57"/>
      <c r="FC169" s="57"/>
      <c r="FD169" s="57"/>
      <c r="FE169" s="57"/>
      <c r="FF169" s="57"/>
      <c r="FG169" s="57"/>
      <c r="FH169" s="57"/>
      <c r="FI169" s="57"/>
      <c r="FJ169" s="57"/>
      <c r="FK169" s="57"/>
      <c r="FL169" s="57"/>
      <c r="FM169" s="57"/>
      <c r="FN169" s="57"/>
      <c r="FO169" s="57"/>
      <c r="FP169" s="57"/>
      <c r="FQ169" s="57"/>
      <c r="FR169" s="57"/>
      <c r="FS169" s="57"/>
    </row>
    <row r="170" spans="1:175" x14ac:dyDescent="0.2">
      <c r="A170" s="58">
        <v>3</v>
      </c>
      <c r="B170" s="22">
        <v>1</v>
      </c>
      <c r="C170" s="7">
        <v>2</v>
      </c>
      <c r="D170" s="7">
        <v>1</v>
      </c>
      <c r="E170" s="23">
        <v>0</v>
      </c>
      <c r="F170" s="15"/>
      <c r="G170" s="7">
        <v>0</v>
      </c>
      <c r="H170" s="7">
        <v>1</v>
      </c>
      <c r="I170" s="7">
        <v>2</v>
      </c>
      <c r="J170" s="23">
        <v>0</v>
      </c>
      <c r="K170" s="15"/>
      <c r="L170" s="7">
        <v>3</v>
      </c>
      <c r="M170" s="7">
        <v>1</v>
      </c>
      <c r="N170" s="7">
        <v>0</v>
      </c>
      <c r="O170" s="23">
        <v>2</v>
      </c>
      <c r="P170" s="15"/>
      <c r="Q170" s="7">
        <v>1</v>
      </c>
      <c r="R170" s="7">
        <v>1</v>
      </c>
      <c r="S170" s="7">
        <v>4</v>
      </c>
      <c r="T170" s="23">
        <v>0</v>
      </c>
      <c r="U170" s="18"/>
      <c r="V170" s="56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57"/>
      <c r="BI170" s="57"/>
      <c r="BJ170" s="57"/>
      <c r="BK170" s="57"/>
      <c r="BL170" s="57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7"/>
      <c r="CF170" s="57"/>
      <c r="CG170" s="57"/>
      <c r="CH170" s="57"/>
      <c r="CI170" s="57"/>
      <c r="CJ170" s="57"/>
      <c r="CK170" s="57"/>
      <c r="CL170" s="57"/>
      <c r="CM170" s="57"/>
      <c r="CN170" s="57"/>
      <c r="CO170" s="57"/>
      <c r="CP170" s="57"/>
      <c r="CQ170" s="57"/>
      <c r="CR170" s="57"/>
      <c r="CS170" s="57"/>
      <c r="CT170" s="57"/>
      <c r="CU170" s="57"/>
      <c r="CV170" s="57"/>
      <c r="CW170" s="57"/>
      <c r="CX170" s="57"/>
      <c r="CY170" s="57"/>
      <c r="CZ170" s="57"/>
      <c r="DA170" s="57"/>
      <c r="DB170" s="57"/>
      <c r="DC170" s="57"/>
      <c r="DD170" s="57"/>
      <c r="DE170" s="57"/>
      <c r="DF170" s="57"/>
      <c r="DG170" s="57"/>
      <c r="DH170" s="57"/>
      <c r="DI170" s="57"/>
      <c r="DJ170" s="57"/>
      <c r="DK170" s="57"/>
      <c r="DL170" s="57"/>
      <c r="DM170" s="57"/>
      <c r="DN170" s="57"/>
      <c r="DO170" s="57"/>
      <c r="DP170" s="57"/>
      <c r="DQ170" s="57"/>
      <c r="DR170" s="57"/>
      <c r="DS170" s="57"/>
      <c r="DT170" s="57"/>
      <c r="DU170" s="57"/>
      <c r="DV170" s="57"/>
      <c r="DW170" s="57"/>
      <c r="DX170" s="57"/>
      <c r="DY170" s="57"/>
      <c r="DZ170" s="57"/>
      <c r="EA170" s="57"/>
      <c r="EB170" s="57"/>
      <c r="EC170" s="57"/>
      <c r="ED170" s="57"/>
      <c r="EE170" s="57"/>
      <c r="EF170" s="57"/>
      <c r="EG170" s="57"/>
      <c r="EH170" s="57"/>
      <c r="EI170" s="57"/>
      <c r="EJ170" s="57"/>
      <c r="EK170" s="57"/>
      <c r="EL170" s="57"/>
      <c r="EM170" s="57"/>
      <c r="EN170" s="57"/>
      <c r="EO170" s="57"/>
      <c r="EP170" s="57"/>
      <c r="EQ170" s="57"/>
      <c r="ER170" s="57"/>
      <c r="ES170" s="57"/>
      <c r="ET170" s="57"/>
      <c r="EU170" s="57"/>
      <c r="EV170" s="57"/>
      <c r="EW170" s="57"/>
      <c r="EX170" s="57"/>
      <c r="EY170" s="57"/>
      <c r="EZ170" s="57"/>
      <c r="FA170" s="57"/>
      <c r="FB170" s="57"/>
      <c r="FC170" s="57"/>
      <c r="FD170" s="57"/>
      <c r="FE170" s="57"/>
      <c r="FF170" s="57"/>
      <c r="FG170" s="57"/>
      <c r="FH170" s="57"/>
      <c r="FI170" s="57"/>
      <c r="FJ170" s="57"/>
      <c r="FK170" s="57"/>
      <c r="FL170" s="57"/>
      <c r="FM170" s="57"/>
      <c r="FN170" s="57"/>
      <c r="FO170" s="57"/>
      <c r="FP170" s="57"/>
      <c r="FQ170" s="57"/>
      <c r="FR170" s="57"/>
      <c r="FS170" s="57"/>
    </row>
    <row r="171" spans="1:175" x14ac:dyDescent="0.2">
      <c r="A171" s="58">
        <v>4</v>
      </c>
      <c r="B171" s="22">
        <v>2</v>
      </c>
      <c r="C171" s="7">
        <v>2</v>
      </c>
      <c r="D171" s="7">
        <v>1</v>
      </c>
      <c r="E171" s="23">
        <v>0</v>
      </c>
      <c r="F171" s="19" t="s">
        <v>64</v>
      </c>
      <c r="G171" s="7">
        <v>2</v>
      </c>
      <c r="H171" s="7">
        <v>0</v>
      </c>
      <c r="I171" s="7">
        <v>4</v>
      </c>
      <c r="J171" s="23">
        <v>0</v>
      </c>
      <c r="K171" s="19" t="s">
        <v>64</v>
      </c>
      <c r="L171" s="7">
        <v>0</v>
      </c>
      <c r="M171" s="7">
        <v>1</v>
      </c>
      <c r="N171" s="7">
        <v>1</v>
      </c>
      <c r="O171" s="23">
        <v>4</v>
      </c>
      <c r="P171" s="19" t="s">
        <v>64</v>
      </c>
      <c r="Q171" s="7">
        <v>1</v>
      </c>
      <c r="R171" s="7">
        <v>3</v>
      </c>
      <c r="S171" s="7">
        <v>3</v>
      </c>
      <c r="T171" s="23">
        <v>0</v>
      </c>
      <c r="U171" s="20" t="s">
        <v>64</v>
      </c>
      <c r="V171" s="56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  <c r="BV171" s="57"/>
      <c r="BW171" s="57"/>
      <c r="BX171" s="57"/>
      <c r="BY171" s="57"/>
      <c r="BZ171" s="57"/>
      <c r="CA171" s="57"/>
      <c r="CB171" s="57"/>
      <c r="CC171" s="57"/>
      <c r="CD171" s="57"/>
      <c r="CE171" s="57"/>
      <c r="CF171" s="57"/>
      <c r="CG171" s="57"/>
      <c r="CH171" s="57"/>
      <c r="CI171" s="57"/>
      <c r="CJ171" s="57"/>
      <c r="CK171" s="57"/>
      <c r="CL171" s="57"/>
      <c r="CM171" s="57"/>
      <c r="CN171" s="57"/>
      <c r="CO171" s="57"/>
      <c r="CP171" s="57"/>
      <c r="CQ171" s="57"/>
      <c r="CR171" s="57"/>
      <c r="CS171" s="57"/>
      <c r="CT171" s="57"/>
      <c r="CU171" s="57"/>
      <c r="CV171" s="57"/>
      <c r="CW171" s="57"/>
      <c r="CX171" s="57"/>
      <c r="CY171" s="57"/>
      <c r="CZ171" s="57"/>
      <c r="DA171" s="57"/>
      <c r="DB171" s="57"/>
      <c r="DC171" s="57"/>
      <c r="DD171" s="57"/>
      <c r="DE171" s="57"/>
      <c r="DF171" s="57"/>
      <c r="DG171" s="57"/>
      <c r="DH171" s="57"/>
      <c r="DI171" s="57"/>
      <c r="DJ171" s="57"/>
      <c r="DK171" s="57"/>
      <c r="DL171" s="57"/>
      <c r="DM171" s="57"/>
      <c r="DN171" s="57"/>
      <c r="DO171" s="57"/>
      <c r="DP171" s="57"/>
      <c r="DQ171" s="57"/>
      <c r="DR171" s="57"/>
      <c r="DS171" s="57"/>
      <c r="DT171" s="57"/>
      <c r="DU171" s="57"/>
      <c r="DV171" s="57"/>
      <c r="DW171" s="57"/>
      <c r="DX171" s="57"/>
      <c r="DY171" s="57"/>
      <c r="DZ171" s="57"/>
      <c r="EA171" s="57"/>
      <c r="EB171" s="57"/>
      <c r="EC171" s="57"/>
      <c r="ED171" s="57"/>
      <c r="EE171" s="57"/>
      <c r="EF171" s="57"/>
      <c r="EG171" s="57"/>
      <c r="EH171" s="57"/>
      <c r="EI171" s="57"/>
      <c r="EJ171" s="57"/>
      <c r="EK171" s="57"/>
      <c r="EL171" s="57"/>
      <c r="EM171" s="57"/>
      <c r="EN171" s="57"/>
      <c r="EO171" s="57"/>
      <c r="EP171" s="57"/>
      <c r="EQ171" s="57"/>
      <c r="ER171" s="57"/>
      <c r="ES171" s="57"/>
      <c r="ET171" s="57"/>
      <c r="EU171" s="57"/>
      <c r="EV171" s="57"/>
      <c r="EW171" s="57"/>
      <c r="EX171" s="57"/>
      <c r="EY171" s="57"/>
      <c r="EZ171" s="57"/>
      <c r="FA171" s="57"/>
      <c r="FB171" s="57"/>
      <c r="FC171" s="57"/>
      <c r="FD171" s="57"/>
      <c r="FE171" s="57"/>
      <c r="FF171" s="57"/>
      <c r="FG171" s="57"/>
      <c r="FH171" s="57"/>
      <c r="FI171" s="57"/>
      <c r="FJ171" s="57"/>
      <c r="FK171" s="57"/>
      <c r="FL171" s="57"/>
      <c r="FM171" s="57"/>
      <c r="FN171" s="57"/>
      <c r="FO171" s="57"/>
      <c r="FP171" s="57"/>
      <c r="FQ171" s="57"/>
      <c r="FR171" s="57"/>
      <c r="FS171" s="57"/>
    </row>
    <row r="172" spans="1:175" x14ac:dyDescent="0.2">
      <c r="A172" s="58">
        <v>5</v>
      </c>
      <c r="B172" s="22">
        <v>5</v>
      </c>
      <c r="C172" s="7">
        <v>10</v>
      </c>
      <c r="D172" s="7">
        <v>4</v>
      </c>
      <c r="E172" s="23">
        <v>3</v>
      </c>
      <c r="F172" s="15">
        <f>(F169*10)*1750</f>
        <v>332500</v>
      </c>
      <c r="G172" s="7">
        <v>5</v>
      </c>
      <c r="H172" s="7">
        <v>5</v>
      </c>
      <c r="I172" s="7">
        <v>1</v>
      </c>
      <c r="J172" s="23">
        <v>7</v>
      </c>
      <c r="K172" s="15">
        <f>(K169*10)*1750</f>
        <v>179375</v>
      </c>
      <c r="L172" s="7">
        <v>11</v>
      </c>
      <c r="M172" s="7">
        <v>9</v>
      </c>
      <c r="N172" s="7">
        <v>3</v>
      </c>
      <c r="O172" s="23">
        <v>8</v>
      </c>
      <c r="P172" s="15">
        <f>(P169*10)*1750</f>
        <v>288750</v>
      </c>
      <c r="Q172" s="7">
        <v>0</v>
      </c>
      <c r="R172" s="7">
        <v>2</v>
      </c>
      <c r="S172" s="7">
        <v>2</v>
      </c>
      <c r="T172" s="23">
        <v>3</v>
      </c>
      <c r="U172" s="18">
        <f>(U169*10)*1000</f>
        <v>135000</v>
      </c>
      <c r="V172" s="56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7"/>
      <c r="CC172" s="57"/>
      <c r="CD172" s="57"/>
      <c r="CE172" s="57"/>
      <c r="CF172" s="57"/>
      <c r="CG172" s="57"/>
      <c r="CH172" s="57"/>
      <c r="CI172" s="57"/>
      <c r="CJ172" s="57"/>
      <c r="CK172" s="57"/>
      <c r="CL172" s="57"/>
      <c r="CM172" s="57"/>
      <c r="CN172" s="57"/>
      <c r="CO172" s="57"/>
      <c r="CP172" s="57"/>
      <c r="CQ172" s="57"/>
      <c r="CR172" s="57"/>
      <c r="CS172" s="57"/>
      <c r="CT172" s="57"/>
      <c r="CU172" s="57"/>
      <c r="CV172" s="57"/>
      <c r="CW172" s="57"/>
      <c r="CX172" s="57"/>
      <c r="CY172" s="57"/>
      <c r="CZ172" s="57"/>
      <c r="DA172" s="57"/>
      <c r="DB172" s="57"/>
      <c r="DC172" s="57"/>
      <c r="DD172" s="57"/>
      <c r="DE172" s="57"/>
      <c r="DF172" s="57"/>
      <c r="DG172" s="57"/>
      <c r="DH172" s="57"/>
      <c r="DI172" s="57"/>
      <c r="DJ172" s="57"/>
      <c r="DK172" s="57"/>
      <c r="DL172" s="57"/>
      <c r="DM172" s="57"/>
      <c r="DN172" s="57"/>
      <c r="DO172" s="57"/>
      <c r="DP172" s="57"/>
      <c r="DQ172" s="57"/>
      <c r="DR172" s="57"/>
      <c r="DS172" s="57"/>
      <c r="DT172" s="57"/>
      <c r="DU172" s="57"/>
      <c r="DV172" s="57"/>
      <c r="DW172" s="57"/>
      <c r="DX172" s="57"/>
      <c r="DY172" s="57"/>
      <c r="DZ172" s="57"/>
      <c r="EA172" s="57"/>
      <c r="EB172" s="57"/>
      <c r="EC172" s="57"/>
      <c r="ED172" s="57"/>
      <c r="EE172" s="57"/>
      <c r="EF172" s="57"/>
      <c r="EG172" s="57"/>
      <c r="EH172" s="57"/>
      <c r="EI172" s="57"/>
      <c r="EJ172" s="57"/>
      <c r="EK172" s="57"/>
      <c r="EL172" s="57"/>
      <c r="EM172" s="57"/>
      <c r="EN172" s="57"/>
      <c r="EO172" s="57"/>
      <c r="EP172" s="57"/>
      <c r="EQ172" s="57"/>
      <c r="ER172" s="57"/>
      <c r="ES172" s="57"/>
      <c r="ET172" s="57"/>
      <c r="EU172" s="57"/>
      <c r="EV172" s="57"/>
      <c r="EW172" s="57"/>
      <c r="EX172" s="57"/>
      <c r="EY172" s="57"/>
      <c r="EZ172" s="57"/>
      <c r="FA172" s="57"/>
      <c r="FB172" s="57"/>
      <c r="FC172" s="57"/>
      <c r="FD172" s="57"/>
      <c r="FE172" s="57"/>
      <c r="FF172" s="57"/>
      <c r="FG172" s="57"/>
      <c r="FH172" s="57"/>
      <c r="FI172" s="57"/>
      <c r="FJ172" s="57"/>
      <c r="FK172" s="57"/>
      <c r="FL172" s="57"/>
      <c r="FM172" s="57"/>
      <c r="FN172" s="57"/>
      <c r="FO172" s="57"/>
      <c r="FP172" s="57"/>
      <c r="FQ172" s="57"/>
      <c r="FR172" s="57"/>
      <c r="FS172" s="57"/>
    </row>
    <row r="173" spans="1:175" x14ac:dyDescent="0.2">
      <c r="A173" s="58">
        <v>6</v>
      </c>
      <c r="B173" s="22">
        <v>5</v>
      </c>
      <c r="C173" s="7">
        <v>2</v>
      </c>
      <c r="D173" s="7">
        <v>3</v>
      </c>
      <c r="E173" s="23">
        <v>1</v>
      </c>
      <c r="F173" s="15"/>
      <c r="G173" s="7">
        <v>2</v>
      </c>
      <c r="H173" s="7">
        <v>1</v>
      </c>
      <c r="I173" s="7">
        <v>1</v>
      </c>
      <c r="J173" s="23">
        <v>0</v>
      </c>
      <c r="K173" s="15"/>
      <c r="L173" s="7">
        <v>1</v>
      </c>
      <c r="M173" s="7">
        <v>0</v>
      </c>
      <c r="N173" s="7">
        <v>1</v>
      </c>
      <c r="O173" s="23">
        <v>1</v>
      </c>
      <c r="P173" s="15"/>
      <c r="Q173" s="7">
        <v>5</v>
      </c>
      <c r="R173" s="7">
        <v>1</v>
      </c>
      <c r="S173" s="7">
        <v>0</v>
      </c>
      <c r="T173" s="23">
        <v>1</v>
      </c>
      <c r="U173" s="18"/>
      <c r="V173" s="56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  <c r="BV173" s="57"/>
      <c r="BW173" s="57"/>
      <c r="BX173" s="57"/>
      <c r="BY173" s="57"/>
      <c r="BZ173" s="57"/>
      <c r="CA173" s="57"/>
      <c r="CB173" s="57"/>
      <c r="CC173" s="57"/>
      <c r="CD173" s="57"/>
      <c r="CE173" s="57"/>
      <c r="CF173" s="57"/>
      <c r="CG173" s="57"/>
      <c r="CH173" s="57"/>
      <c r="CI173" s="57"/>
      <c r="CJ173" s="57"/>
      <c r="CK173" s="57"/>
      <c r="CL173" s="57"/>
      <c r="CM173" s="57"/>
      <c r="CN173" s="57"/>
      <c r="CO173" s="57"/>
      <c r="CP173" s="57"/>
      <c r="CQ173" s="57"/>
      <c r="CR173" s="57"/>
      <c r="CS173" s="57"/>
      <c r="CT173" s="57"/>
      <c r="CU173" s="57"/>
      <c r="CV173" s="57"/>
      <c r="CW173" s="57"/>
      <c r="CX173" s="57"/>
      <c r="CY173" s="57"/>
      <c r="CZ173" s="57"/>
      <c r="DA173" s="57"/>
      <c r="DB173" s="57"/>
      <c r="DC173" s="57"/>
      <c r="DD173" s="57"/>
      <c r="DE173" s="57"/>
      <c r="DF173" s="57"/>
      <c r="DG173" s="57"/>
      <c r="DH173" s="57"/>
      <c r="DI173" s="57"/>
      <c r="DJ173" s="57"/>
      <c r="DK173" s="57"/>
      <c r="DL173" s="57"/>
      <c r="DM173" s="57"/>
      <c r="DN173" s="57"/>
      <c r="DO173" s="57"/>
      <c r="DP173" s="57"/>
      <c r="DQ173" s="57"/>
      <c r="DR173" s="57"/>
      <c r="DS173" s="57"/>
      <c r="DT173" s="57"/>
      <c r="DU173" s="57"/>
      <c r="DV173" s="57"/>
      <c r="DW173" s="57"/>
      <c r="DX173" s="57"/>
      <c r="DY173" s="57"/>
      <c r="DZ173" s="57"/>
      <c r="EA173" s="57"/>
      <c r="EB173" s="57"/>
      <c r="EC173" s="57"/>
      <c r="ED173" s="57"/>
      <c r="EE173" s="57"/>
      <c r="EF173" s="57"/>
      <c r="EG173" s="57"/>
      <c r="EH173" s="57"/>
      <c r="EI173" s="57"/>
      <c r="EJ173" s="57"/>
      <c r="EK173" s="57"/>
      <c r="EL173" s="57"/>
      <c r="EM173" s="57"/>
      <c r="EN173" s="57"/>
      <c r="EO173" s="57"/>
      <c r="EP173" s="57"/>
      <c r="EQ173" s="57"/>
      <c r="ER173" s="57"/>
      <c r="ES173" s="57"/>
      <c r="ET173" s="57"/>
      <c r="EU173" s="57"/>
      <c r="EV173" s="57"/>
      <c r="EW173" s="57"/>
      <c r="EX173" s="57"/>
      <c r="EY173" s="57"/>
      <c r="EZ173" s="57"/>
      <c r="FA173" s="57"/>
      <c r="FB173" s="57"/>
      <c r="FC173" s="57"/>
      <c r="FD173" s="57"/>
      <c r="FE173" s="57"/>
      <c r="FF173" s="57"/>
      <c r="FG173" s="57"/>
      <c r="FH173" s="57"/>
      <c r="FI173" s="57"/>
      <c r="FJ173" s="57"/>
      <c r="FK173" s="57"/>
      <c r="FL173" s="57"/>
      <c r="FM173" s="57"/>
      <c r="FN173" s="57"/>
      <c r="FO173" s="57"/>
      <c r="FP173" s="57"/>
      <c r="FQ173" s="57"/>
      <c r="FR173" s="57"/>
      <c r="FS173" s="57"/>
    </row>
    <row r="174" spans="1:175" x14ac:dyDescent="0.2">
      <c r="A174" s="58">
        <v>7</v>
      </c>
      <c r="B174" s="22">
        <v>2</v>
      </c>
      <c r="C174" s="7">
        <v>3</v>
      </c>
      <c r="D174" s="7">
        <v>3</v>
      </c>
      <c r="E174" s="23">
        <v>3</v>
      </c>
      <c r="F174" s="15"/>
      <c r="G174" s="7">
        <v>2</v>
      </c>
      <c r="H174" s="7">
        <v>0</v>
      </c>
      <c r="I174" s="7">
        <v>0</v>
      </c>
      <c r="J174" s="23">
        <v>1</v>
      </c>
      <c r="K174" s="15"/>
      <c r="L174" s="7">
        <v>0</v>
      </c>
      <c r="M174" s="7">
        <v>3</v>
      </c>
      <c r="N174" s="7">
        <v>0</v>
      </c>
      <c r="O174" s="23">
        <v>0</v>
      </c>
      <c r="P174" s="15"/>
      <c r="Q174" s="7">
        <v>0</v>
      </c>
      <c r="R174" s="7">
        <v>2</v>
      </c>
      <c r="S174" s="7">
        <v>8</v>
      </c>
      <c r="T174" s="23">
        <v>0</v>
      </c>
      <c r="U174" s="18"/>
      <c r="V174" s="56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7"/>
      <c r="BZ174" s="57"/>
      <c r="CA174" s="57"/>
      <c r="CB174" s="57"/>
      <c r="CC174" s="57"/>
      <c r="CD174" s="57"/>
      <c r="CE174" s="57"/>
      <c r="CF174" s="57"/>
      <c r="CG174" s="57"/>
      <c r="CH174" s="57"/>
      <c r="CI174" s="57"/>
      <c r="CJ174" s="57"/>
      <c r="CK174" s="57"/>
      <c r="CL174" s="57"/>
      <c r="CM174" s="57"/>
      <c r="CN174" s="57"/>
      <c r="CO174" s="57"/>
      <c r="CP174" s="57"/>
      <c r="CQ174" s="57"/>
      <c r="CR174" s="57"/>
      <c r="CS174" s="57"/>
      <c r="CT174" s="57"/>
      <c r="CU174" s="57"/>
      <c r="CV174" s="57"/>
      <c r="CW174" s="57"/>
      <c r="CX174" s="57"/>
      <c r="CY174" s="57"/>
      <c r="CZ174" s="57"/>
      <c r="DA174" s="57"/>
      <c r="DB174" s="57"/>
      <c r="DC174" s="57"/>
      <c r="DD174" s="57"/>
      <c r="DE174" s="57"/>
      <c r="DF174" s="57"/>
      <c r="DG174" s="57"/>
      <c r="DH174" s="57"/>
      <c r="DI174" s="57"/>
      <c r="DJ174" s="57"/>
      <c r="DK174" s="57"/>
      <c r="DL174" s="57"/>
      <c r="DM174" s="57"/>
      <c r="DN174" s="57"/>
      <c r="DO174" s="57"/>
      <c r="DP174" s="57"/>
      <c r="DQ174" s="57"/>
      <c r="DR174" s="57"/>
      <c r="DS174" s="57"/>
      <c r="DT174" s="57"/>
      <c r="DU174" s="57"/>
      <c r="DV174" s="57"/>
      <c r="DW174" s="57"/>
      <c r="DX174" s="57"/>
      <c r="DY174" s="57"/>
      <c r="DZ174" s="57"/>
      <c r="EA174" s="57"/>
      <c r="EB174" s="57"/>
      <c r="EC174" s="57"/>
      <c r="ED174" s="57"/>
      <c r="EE174" s="57"/>
      <c r="EF174" s="57"/>
      <c r="EG174" s="57"/>
      <c r="EH174" s="57"/>
      <c r="EI174" s="57"/>
      <c r="EJ174" s="57"/>
      <c r="EK174" s="57"/>
      <c r="EL174" s="57"/>
      <c r="EM174" s="57"/>
      <c r="EN174" s="57"/>
      <c r="EO174" s="57"/>
      <c r="EP174" s="57"/>
      <c r="EQ174" s="57"/>
      <c r="ER174" s="57"/>
      <c r="ES174" s="57"/>
      <c r="ET174" s="57"/>
      <c r="EU174" s="57"/>
      <c r="EV174" s="57"/>
      <c r="EW174" s="57"/>
      <c r="EX174" s="57"/>
      <c r="EY174" s="57"/>
      <c r="EZ174" s="57"/>
      <c r="FA174" s="57"/>
      <c r="FB174" s="57"/>
      <c r="FC174" s="57"/>
      <c r="FD174" s="57"/>
      <c r="FE174" s="57"/>
      <c r="FF174" s="57"/>
      <c r="FG174" s="57"/>
      <c r="FH174" s="57"/>
      <c r="FI174" s="57"/>
      <c r="FJ174" s="57"/>
      <c r="FK174" s="57"/>
      <c r="FL174" s="57"/>
      <c r="FM174" s="57"/>
      <c r="FN174" s="57"/>
      <c r="FO174" s="57"/>
      <c r="FP174" s="57"/>
      <c r="FQ174" s="57"/>
      <c r="FR174" s="57"/>
      <c r="FS174" s="57"/>
    </row>
    <row r="175" spans="1:175" x14ac:dyDescent="0.2">
      <c r="A175" s="58">
        <v>8</v>
      </c>
      <c r="B175" s="22">
        <v>2</v>
      </c>
      <c r="C175" s="7">
        <v>0</v>
      </c>
      <c r="D175" s="7">
        <v>2</v>
      </c>
      <c r="E175" s="23">
        <v>3</v>
      </c>
      <c r="F175" s="15"/>
      <c r="G175" s="7">
        <v>1</v>
      </c>
      <c r="H175" s="7">
        <v>2</v>
      </c>
      <c r="I175" s="7">
        <v>1</v>
      </c>
      <c r="J175" s="23">
        <v>0</v>
      </c>
      <c r="K175" s="15"/>
      <c r="L175" s="7">
        <v>0</v>
      </c>
      <c r="M175" s="7">
        <v>0</v>
      </c>
      <c r="N175" s="7">
        <v>0</v>
      </c>
      <c r="O175" s="23">
        <v>1</v>
      </c>
      <c r="P175" s="15"/>
      <c r="Q175" s="7">
        <v>4</v>
      </c>
      <c r="R175" s="7">
        <v>3</v>
      </c>
      <c r="S175" s="7">
        <v>2</v>
      </c>
      <c r="T175" s="23">
        <v>4</v>
      </c>
      <c r="U175" s="18"/>
      <c r="V175" s="56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57"/>
      <c r="BS175" s="57"/>
      <c r="BT175" s="57"/>
      <c r="BU175" s="57"/>
      <c r="BV175" s="57"/>
      <c r="BW175" s="57"/>
      <c r="BX175" s="57"/>
      <c r="BY175" s="57"/>
      <c r="BZ175" s="57"/>
      <c r="CA175" s="57"/>
      <c r="CB175" s="57"/>
      <c r="CC175" s="57"/>
      <c r="CD175" s="57"/>
      <c r="CE175" s="57"/>
      <c r="CF175" s="57"/>
      <c r="CG175" s="57"/>
      <c r="CH175" s="57"/>
      <c r="CI175" s="57"/>
      <c r="CJ175" s="57"/>
      <c r="CK175" s="57"/>
      <c r="CL175" s="57"/>
      <c r="CM175" s="57"/>
      <c r="CN175" s="57"/>
      <c r="CO175" s="57"/>
      <c r="CP175" s="57"/>
      <c r="CQ175" s="57"/>
      <c r="CR175" s="57"/>
      <c r="CS175" s="57"/>
      <c r="CT175" s="57"/>
      <c r="CU175" s="57"/>
      <c r="CV175" s="57"/>
      <c r="CW175" s="57"/>
      <c r="CX175" s="57"/>
      <c r="CY175" s="57"/>
      <c r="CZ175" s="57"/>
      <c r="DA175" s="57"/>
      <c r="DB175" s="57"/>
      <c r="DC175" s="57"/>
      <c r="DD175" s="57"/>
      <c r="DE175" s="57"/>
      <c r="DF175" s="57"/>
      <c r="DG175" s="57"/>
      <c r="DH175" s="57"/>
      <c r="DI175" s="57"/>
      <c r="DJ175" s="57"/>
      <c r="DK175" s="57"/>
      <c r="DL175" s="57"/>
      <c r="DM175" s="57"/>
      <c r="DN175" s="57"/>
      <c r="DO175" s="57"/>
      <c r="DP175" s="57"/>
      <c r="DQ175" s="57"/>
      <c r="DR175" s="57"/>
      <c r="DS175" s="57"/>
      <c r="DT175" s="57"/>
      <c r="DU175" s="57"/>
      <c r="DV175" s="57"/>
      <c r="DW175" s="57"/>
      <c r="DX175" s="57"/>
      <c r="DY175" s="57"/>
      <c r="DZ175" s="57"/>
      <c r="EA175" s="57"/>
      <c r="EB175" s="57"/>
      <c r="EC175" s="57"/>
      <c r="ED175" s="57"/>
      <c r="EE175" s="57"/>
      <c r="EF175" s="57"/>
      <c r="EG175" s="57"/>
      <c r="EH175" s="57"/>
      <c r="EI175" s="57"/>
      <c r="EJ175" s="57"/>
      <c r="EK175" s="57"/>
      <c r="EL175" s="57"/>
      <c r="EM175" s="57"/>
      <c r="EN175" s="57"/>
      <c r="EO175" s="57"/>
      <c r="EP175" s="57"/>
      <c r="EQ175" s="57"/>
      <c r="ER175" s="57"/>
      <c r="ES175" s="57"/>
      <c r="ET175" s="57"/>
      <c r="EU175" s="57"/>
      <c r="EV175" s="57"/>
      <c r="EW175" s="57"/>
      <c r="EX175" s="57"/>
      <c r="EY175" s="57"/>
      <c r="EZ175" s="57"/>
      <c r="FA175" s="57"/>
      <c r="FB175" s="57"/>
      <c r="FC175" s="57"/>
      <c r="FD175" s="57"/>
      <c r="FE175" s="57"/>
      <c r="FF175" s="57"/>
      <c r="FG175" s="57"/>
      <c r="FH175" s="57"/>
      <c r="FI175" s="57"/>
      <c r="FJ175" s="57"/>
      <c r="FK175" s="57"/>
      <c r="FL175" s="57"/>
      <c r="FM175" s="57"/>
      <c r="FN175" s="57"/>
      <c r="FO175" s="57"/>
      <c r="FP175" s="57"/>
      <c r="FQ175" s="57"/>
      <c r="FR175" s="57"/>
      <c r="FS175" s="57"/>
    </row>
    <row r="176" spans="1:175" x14ac:dyDescent="0.2">
      <c r="A176" s="59"/>
      <c r="B176" s="60" t="s">
        <v>64</v>
      </c>
      <c r="C176" s="36" t="s">
        <v>64</v>
      </c>
      <c r="D176" s="36" t="s">
        <v>64</v>
      </c>
      <c r="E176" s="36" t="s">
        <v>64</v>
      </c>
      <c r="F176" s="19"/>
      <c r="G176" s="60" t="s">
        <v>64</v>
      </c>
      <c r="H176" s="36" t="s">
        <v>64</v>
      </c>
      <c r="I176" s="36" t="s">
        <v>64</v>
      </c>
      <c r="J176" s="36" t="s">
        <v>64</v>
      </c>
      <c r="K176" s="19"/>
      <c r="L176" s="60" t="s">
        <v>64</v>
      </c>
      <c r="M176" s="36" t="s">
        <v>64</v>
      </c>
      <c r="N176" s="36" t="s">
        <v>64</v>
      </c>
      <c r="O176" s="36" t="s">
        <v>64</v>
      </c>
      <c r="P176" s="19"/>
      <c r="Q176" s="60" t="s">
        <v>64</v>
      </c>
      <c r="R176" s="36" t="s">
        <v>64</v>
      </c>
      <c r="S176" s="36" t="s">
        <v>64</v>
      </c>
      <c r="T176" s="36" t="s">
        <v>64</v>
      </c>
      <c r="U176" s="20"/>
      <c r="V176" s="56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/>
      <c r="CS176" s="57"/>
      <c r="CT176" s="57"/>
      <c r="CU176" s="57"/>
      <c r="CV176" s="57"/>
      <c r="CW176" s="57"/>
      <c r="CX176" s="57"/>
      <c r="CY176" s="57"/>
      <c r="CZ176" s="57"/>
      <c r="DA176" s="57"/>
      <c r="DB176" s="57"/>
      <c r="DC176" s="57"/>
      <c r="DD176" s="57"/>
      <c r="DE176" s="57"/>
      <c r="DF176" s="57"/>
      <c r="DG176" s="57"/>
      <c r="DH176" s="57"/>
      <c r="DI176" s="57"/>
      <c r="DJ176" s="57"/>
      <c r="DK176" s="57"/>
      <c r="DL176" s="57"/>
      <c r="DM176" s="57"/>
      <c r="DN176" s="57"/>
      <c r="DO176" s="57"/>
      <c r="DP176" s="57"/>
      <c r="DQ176" s="57"/>
      <c r="DR176" s="57"/>
      <c r="DS176" s="57"/>
      <c r="DT176" s="57"/>
      <c r="DU176" s="57"/>
      <c r="DV176" s="57"/>
      <c r="DW176" s="57"/>
      <c r="DX176" s="57"/>
      <c r="DY176" s="57"/>
      <c r="DZ176" s="57"/>
      <c r="EA176" s="57"/>
      <c r="EB176" s="57"/>
      <c r="EC176" s="57"/>
      <c r="ED176" s="57"/>
      <c r="EE176" s="57"/>
      <c r="EF176" s="57"/>
      <c r="EG176" s="57"/>
      <c r="EH176" s="57"/>
      <c r="EI176" s="57"/>
      <c r="EJ176" s="57"/>
      <c r="EK176" s="57"/>
      <c r="EL176" s="57"/>
      <c r="EM176" s="57"/>
      <c r="EN176" s="57"/>
      <c r="EO176" s="57"/>
      <c r="EP176" s="57"/>
      <c r="EQ176" s="57"/>
      <c r="ER176" s="57"/>
      <c r="ES176" s="57"/>
      <c r="ET176" s="57"/>
      <c r="EU176" s="57"/>
      <c r="EV176" s="57"/>
      <c r="EW176" s="57"/>
      <c r="EX176" s="57"/>
      <c r="EY176" s="57"/>
      <c r="EZ176" s="57"/>
      <c r="FA176" s="57"/>
      <c r="FB176" s="57"/>
      <c r="FC176" s="57"/>
      <c r="FD176" s="57"/>
      <c r="FE176" s="57"/>
      <c r="FF176" s="57"/>
      <c r="FG176" s="57"/>
      <c r="FH176" s="57"/>
      <c r="FI176" s="57"/>
      <c r="FJ176" s="57"/>
      <c r="FK176" s="57"/>
      <c r="FL176" s="57"/>
      <c r="FM176" s="57"/>
      <c r="FN176" s="57"/>
      <c r="FO176" s="57"/>
      <c r="FP176" s="57"/>
      <c r="FQ176" s="57"/>
      <c r="FR176" s="57"/>
      <c r="FS176" s="57"/>
    </row>
    <row r="177" spans="1:175" x14ac:dyDescent="0.2">
      <c r="A177" s="61"/>
      <c r="B177" s="62">
        <f>SUM(B168:B175)</f>
        <v>21</v>
      </c>
      <c r="C177" s="62">
        <f t="shared" ref="C177:E177" si="60">SUM(C168:C175)</f>
        <v>21</v>
      </c>
      <c r="D177" s="62">
        <f t="shared" si="60"/>
        <v>18</v>
      </c>
      <c r="E177" s="62">
        <f t="shared" si="60"/>
        <v>16</v>
      </c>
      <c r="F177" s="33"/>
      <c r="G177" s="62">
        <f>SUM(G168:G175)</f>
        <v>13</v>
      </c>
      <c r="H177" s="62">
        <f t="shared" ref="H177:J177" si="61">SUM(H168:H175)</f>
        <v>10</v>
      </c>
      <c r="I177" s="62">
        <f t="shared" si="61"/>
        <v>10</v>
      </c>
      <c r="J177" s="62">
        <f t="shared" si="61"/>
        <v>8</v>
      </c>
      <c r="K177" s="33"/>
      <c r="L177" s="62">
        <f>SUM(L168:L175)</f>
        <v>16</v>
      </c>
      <c r="M177" s="62">
        <f t="shared" ref="M177:O177" si="62">SUM(M168:M175)</f>
        <v>21</v>
      </c>
      <c r="N177" s="62">
        <f t="shared" si="62"/>
        <v>8</v>
      </c>
      <c r="O177" s="62">
        <f t="shared" si="62"/>
        <v>21</v>
      </c>
      <c r="P177" s="33"/>
      <c r="Q177" s="62">
        <f>SUM(Q168:Q175)</f>
        <v>12</v>
      </c>
      <c r="R177" s="62">
        <f t="shared" ref="R177:T177" si="63">SUM(R168:R175)</f>
        <v>13</v>
      </c>
      <c r="S177" s="62">
        <f t="shared" si="63"/>
        <v>20</v>
      </c>
      <c r="T177" s="62">
        <f t="shared" si="63"/>
        <v>9</v>
      </c>
      <c r="U177" s="34"/>
      <c r="V177" s="56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7"/>
      <c r="CC177" s="57"/>
      <c r="CD177" s="57"/>
      <c r="CE177" s="57"/>
      <c r="CF177" s="57"/>
      <c r="CG177" s="57"/>
      <c r="CH177" s="57"/>
      <c r="CI177" s="57"/>
      <c r="CJ177" s="57"/>
      <c r="CK177" s="57"/>
      <c r="CL177" s="57"/>
      <c r="CM177" s="57"/>
      <c r="CN177" s="57"/>
      <c r="CO177" s="57"/>
      <c r="CP177" s="57"/>
      <c r="CQ177" s="57"/>
      <c r="CR177" s="57"/>
      <c r="CS177" s="57"/>
      <c r="CT177" s="57"/>
      <c r="CU177" s="57"/>
      <c r="CV177" s="57"/>
      <c r="CW177" s="57"/>
      <c r="CX177" s="57"/>
      <c r="CY177" s="57"/>
      <c r="CZ177" s="57"/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7"/>
      <c r="DL177" s="57"/>
      <c r="DM177" s="57"/>
      <c r="DN177" s="57"/>
      <c r="DO177" s="57"/>
      <c r="DP177" s="57"/>
      <c r="DQ177" s="57"/>
      <c r="DR177" s="57"/>
      <c r="DS177" s="57"/>
      <c r="DT177" s="57"/>
      <c r="DU177" s="57"/>
      <c r="DV177" s="57"/>
      <c r="DW177" s="57"/>
      <c r="DX177" s="57"/>
      <c r="DY177" s="57"/>
      <c r="DZ177" s="57"/>
      <c r="EA177" s="57"/>
      <c r="EB177" s="57"/>
      <c r="EC177" s="57"/>
      <c r="ED177" s="57"/>
      <c r="EE177" s="57"/>
      <c r="EF177" s="57"/>
      <c r="EG177" s="57"/>
      <c r="EH177" s="57"/>
      <c r="EI177" s="57"/>
      <c r="EJ177" s="57"/>
      <c r="EK177" s="57"/>
      <c r="EL177" s="57"/>
      <c r="EM177" s="57"/>
      <c r="EN177" s="57"/>
      <c r="EO177" s="57"/>
      <c r="EP177" s="57"/>
      <c r="EQ177" s="57"/>
      <c r="ER177" s="57"/>
      <c r="ES177" s="57"/>
      <c r="ET177" s="57"/>
      <c r="EU177" s="57"/>
      <c r="EV177" s="57"/>
      <c r="EW177" s="57"/>
      <c r="EX177" s="57"/>
      <c r="EY177" s="57"/>
      <c r="EZ177" s="57"/>
      <c r="FA177" s="57"/>
      <c r="FB177" s="57"/>
      <c r="FC177" s="57"/>
      <c r="FD177" s="57"/>
      <c r="FE177" s="57"/>
      <c r="FF177" s="57"/>
      <c r="FG177" s="57"/>
      <c r="FH177" s="57"/>
      <c r="FI177" s="57"/>
      <c r="FJ177" s="57"/>
      <c r="FK177" s="57"/>
      <c r="FL177" s="57"/>
      <c r="FM177" s="57"/>
      <c r="FN177" s="57"/>
      <c r="FO177" s="57"/>
      <c r="FP177" s="57"/>
      <c r="FQ177" s="57"/>
      <c r="FR177" s="57"/>
      <c r="FS177" s="57"/>
    </row>
    <row r="178" spans="1:175" x14ac:dyDescent="0.2">
      <c r="A178" s="53">
        <v>21</v>
      </c>
      <c r="B178" s="54" t="s">
        <v>59</v>
      </c>
      <c r="C178" s="53" t="s">
        <v>60</v>
      </c>
      <c r="D178" s="53" t="s">
        <v>61</v>
      </c>
      <c r="E178" s="55" t="s">
        <v>62</v>
      </c>
      <c r="F178" s="15"/>
      <c r="G178" s="53" t="s">
        <v>59</v>
      </c>
      <c r="H178" s="53" t="s">
        <v>60</v>
      </c>
      <c r="I178" s="53" t="s">
        <v>61</v>
      </c>
      <c r="J178" s="55" t="s">
        <v>62</v>
      </c>
      <c r="K178" s="15"/>
      <c r="L178" s="53" t="s">
        <v>59</v>
      </c>
      <c r="M178" s="53" t="s">
        <v>60</v>
      </c>
      <c r="N178" s="53" t="s">
        <v>61</v>
      </c>
      <c r="O178" s="55" t="s">
        <v>62</v>
      </c>
      <c r="P178" s="15"/>
      <c r="Q178" s="53" t="s">
        <v>59</v>
      </c>
      <c r="R178" s="53" t="s">
        <v>60</v>
      </c>
      <c r="S178" s="53" t="s">
        <v>61</v>
      </c>
      <c r="T178" s="55" t="s">
        <v>62</v>
      </c>
      <c r="U178" s="18"/>
      <c r="V178" s="56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7"/>
      <c r="BZ178" s="57"/>
      <c r="CA178" s="57"/>
      <c r="CB178" s="57"/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  <c r="CM178" s="57"/>
      <c r="CN178" s="57"/>
      <c r="CO178" s="57"/>
      <c r="CP178" s="57"/>
      <c r="CQ178" s="57"/>
      <c r="CR178" s="57"/>
      <c r="CS178" s="57"/>
      <c r="CT178" s="57"/>
      <c r="CU178" s="57"/>
      <c r="CV178" s="57"/>
      <c r="CW178" s="57"/>
      <c r="CX178" s="57"/>
      <c r="CY178" s="57"/>
      <c r="CZ178" s="57"/>
      <c r="DA178" s="57"/>
      <c r="DB178" s="57"/>
      <c r="DC178" s="57"/>
      <c r="DD178" s="57"/>
      <c r="DE178" s="57"/>
      <c r="DF178" s="57"/>
      <c r="DG178" s="57"/>
      <c r="DH178" s="57"/>
      <c r="DI178" s="57"/>
      <c r="DJ178" s="57"/>
      <c r="DK178" s="57"/>
      <c r="DL178" s="57"/>
      <c r="DM178" s="57"/>
      <c r="DN178" s="57"/>
      <c r="DO178" s="57"/>
      <c r="DP178" s="57"/>
      <c r="DQ178" s="57"/>
      <c r="DR178" s="57"/>
      <c r="DS178" s="57"/>
      <c r="DT178" s="57"/>
      <c r="DU178" s="57"/>
      <c r="DV178" s="57"/>
      <c r="DW178" s="57"/>
      <c r="DX178" s="57"/>
      <c r="DY178" s="57"/>
      <c r="DZ178" s="57"/>
      <c r="EA178" s="57"/>
      <c r="EB178" s="57"/>
      <c r="EC178" s="57"/>
      <c r="ED178" s="57"/>
      <c r="EE178" s="57"/>
      <c r="EF178" s="57"/>
      <c r="EG178" s="57"/>
      <c r="EH178" s="57"/>
      <c r="EI178" s="57"/>
      <c r="EJ178" s="57"/>
      <c r="EK178" s="57"/>
      <c r="EL178" s="57"/>
      <c r="EM178" s="57"/>
      <c r="EN178" s="57"/>
      <c r="EO178" s="57"/>
      <c r="EP178" s="57"/>
      <c r="EQ178" s="57"/>
      <c r="ER178" s="57"/>
      <c r="ES178" s="57"/>
      <c r="ET178" s="57"/>
      <c r="EU178" s="57"/>
      <c r="EV178" s="57"/>
      <c r="EW178" s="57"/>
      <c r="EX178" s="57"/>
      <c r="EY178" s="57"/>
      <c r="EZ178" s="57"/>
      <c r="FA178" s="57"/>
      <c r="FB178" s="57"/>
      <c r="FC178" s="57"/>
      <c r="FD178" s="57"/>
      <c r="FE178" s="57"/>
      <c r="FF178" s="57"/>
      <c r="FG178" s="57"/>
      <c r="FH178" s="57"/>
      <c r="FI178" s="57"/>
      <c r="FJ178" s="57"/>
      <c r="FK178" s="57"/>
      <c r="FL178" s="57"/>
      <c r="FM178" s="57"/>
      <c r="FN178" s="57"/>
      <c r="FO178" s="57"/>
      <c r="FP178" s="57"/>
      <c r="FQ178" s="57"/>
      <c r="FR178" s="57"/>
      <c r="FS178" s="57"/>
    </row>
    <row r="179" spans="1:175" x14ac:dyDescent="0.2">
      <c r="A179" s="58">
        <v>1</v>
      </c>
      <c r="B179" s="22">
        <v>1</v>
      </c>
      <c r="C179" s="7">
        <v>1</v>
      </c>
      <c r="D179" s="7">
        <v>1</v>
      </c>
      <c r="E179" s="23">
        <v>0</v>
      </c>
      <c r="F179" s="19" t="s">
        <v>63</v>
      </c>
      <c r="G179" s="7">
        <v>0</v>
      </c>
      <c r="H179" s="7">
        <v>0</v>
      </c>
      <c r="I179" s="7">
        <v>0</v>
      </c>
      <c r="J179" s="23">
        <v>0</v>
      </c>
      <c r="K179" s="19" t="s">
        <v>63</v>
      </c>
      <c r="L179" s="7">
        <v>0</v>
      </c>
      <c r="M179" s="7">
        <v>1</v>
      </c>
      <c r="N179" s="7">
        <v>0</v>
      </c>
      <c r="O179" s="23">
        <v>0</v>
      </c>
      <c r="P179" s="19" t="s">
        <v>63</v>
      </c>
      <c r="Q179" s="7">
        <v>0</v>
      </c>
      <c r="R179" s="7">
        <v>0</v>
      </c>
      <c r="S179" s="7">
        <v>0</v>
      </c>
      <c r="T179" s="23">
        <v>0</v>
      </c>
      <c r="U179" s="20" t="s">
        <v>63</v>
      </c>
      <c r="V179" s="56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7"/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7"/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/>
      <c r="DC179" s="57"/>
      <c r="DD179" s="57"/>
      <c r="DE179" s="57"/>
      <c r="DF179" s="57"/>
      <c r="DG179" s="57"/>
      <c r="DH179" s="57"/>
      <c r="DI179" s="57"/>
      <c r="DJ179" s="57"/>
      <c r="DK179" s="57"/>
      <c r="DL179" s="57"/>
      <c r="DM179" s="57"/>
      <c r="DN179" s="57"/>
      <c r="DO179" s="57"/>
      <c r="DP179" s="57"/>
      <c r="DQ179" s="57"/>
      <c r="DR179" s="57"/>
      <c r="DS179" s="57"/>
      <c r="DT179" s="57"/>
      <c r="DU179" s="57"/>
      <c r="DV179" s="57"/>
      <c r="DW179" s="57"/>
      <c r="DX179" s="57"/>
      <c r="DY179" s="57"/>
      <c r="DZ179" s="57"/>
      <c r="EA179" s="57"/>
      <c r="EB179" s="57"/>
      <c r="EC179" s="57"/>
      <c r="ED179" s="57"/>
      <c r="EE179" s="57"/>
      <c r="EF179" s="57"/>
      <c r="EG179" s="57"/>
      <c r="EH179" s="57"/>
      <c r="EI179" s="57"/>
      <c r="EJ179" s="57"/>
      <c r="EK179" s="57"/>
      <c r="EL179" s="57"/>
      <c r="EM179" s="57"/>
      <c r="EN179" s="57"/>
      <c r="EO179" s="57"/>
      <c r="EP179" s="57"/>
      <c r="EQ179" s="57"/>
      <c r="ER179" s="57"/>
      <c r="ES179" s="57"/>
      <c r="ET179" s="57"/>
      <c r="EU179" s="57"/>
      <c r="EV179" s="57"/>
      <c r="EW179" s="57"/>
      <c r="EX179" s="57"/>
      <c r="EY179" s="57"/>
      <c r="EZ179" s="57"/>
      <c r="FA179" s="57"/>
      <c r="FB179" s="57"/>
      <c r="FC179" s="57"/>
      <c r="FD179" s="57"/>
      <c r="FE179" s="57"/>
      <c r="FF179" s="57"/>
      <c r="FG179" s="57"/>
      <c r="FH179" s="57"/>
      <c r="FI179" s="57"/>
      <c r="FJ179" s="57"/>
      <c r="FK179" s="57"/>
      <c r="FL179" s="57"/>
      <c r="FM179" s="57"/>
      <c r="FN179" s="57"/>
      <c r="FO179" s="57"/>
      <c r="FP179" s="57"/>
      <c r="FQ179" s="57"/>
      <c r="FR179" s="57"/>
      <c r="FS179" s="57"/>
    </row>
    <row r="180" spans="1:175" x14ac:dyDescent="0.2">
      <c r="A180" s="58">
        <v>2</v>
      </c>
      <c r="B180" s="22">
        <v>3</v>
      </c>
      <c r="C180" s="7">
        <v>0</v>
      </c>
      <c r="D180" s="7">
        <v>0</v>
      </c>
      <c r="E180" s="23">
        <v>1</v>
      </c>
      <c r="F180" s="21">
        <f>AVERAGE(B188:E188)</f>
        <v>11.25</v>
      </c>
      <c r="G180" s="7">
        <v>1</v>
      </c>
      <c r="H180" s="7">
        <v>1</v>
      </c>
      <c r="I180" s="7">
        <v>0</v>
      </c>
      <c r="J180" s="23">
        <v>0</v>
      </c>
      <c r="K180" s="21">
        <f>AVERAGE(G188:J188)</f>
        <v>1.25</v>
      </c>
      <c r="L180" s="7">
        <v>0</v>
      </c>
      <c r="M180" s="7">
        <v>0</v>
      </c>
      <c r="N180" s="7">
        <v>0</v>
      </c>
      <c r="O180" s="23">
        <v>0</v>
      </c>
      <c r="P180" s="21">
        <f>AVERAGE(L188:O188)</f>
        <v>3.25</v>
      </c>
      <c r="Q180" s="7">
        <v>0</v>
      </c>
      <c r="R180" s="7">
        <v>0</v>
      </c>
      <c r="S180" s="7">
        <v>0</v>
      </c>
      <c r="T180" s="23">
        <v>0</v>
      </c>
      <c r="U180" s="24">
        <f>AVERAGE(Q188:T188)</f>
        <v>2.5</v>
      </c>
      <c r="V180" s="56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7"/>
      <c r="BZ180" s="57"/>
      <c r="CA180" s="57"/>
      <c r="CB180" s="57"/>
      <c r="CC180" s="57"/>
      <c r="CD180" s="57"/>
      <c r="CE180" s="57"/>
      <c r="CF180" s="57"/>
      <c r="CG180" s="57"/>
      <c r="CH180" s="57"/>
      <c r="CI180" s="57"/>
      <c r="CJ180" s="57"/>
      <c r="CK180" s="57"/>
      <c r="CL180" s="57"/>
      <c r="CM180" s="57"/>
      <c r="CN180" s="57"/>
      <c r="CO180" s="57"/>
      <c r="CP180" s="57"/>
      <c r="CQ180" s="57"/>
      <c r="CR180" s="57"/>
      <c r="CS180" s="57"/>
      <c r="CT180" s="57"/>
      <c r="CU180" s="57"/>
      <c r="CV180" s="57"/>
      <c r="CW180" s="57"/>
      <c r="CX180" s="57"/>
      <c r="CY180" s="57"/>
      <c r="CZ180" s="57"/>
      <c r="DA180" s="57"/>
      <c r="DB180" s="57"/>
      <c r="DC180" s="57"/>
      <c r="DD180" s="57"/>
      <c r="DE180" s="57"/>
      <c r="DF180" s="57"/>
      <c r="DG180" s="57"/>
      <c r="DH180" s="57"/>
      <c r="DI180" s="57"/>
      <c r="DJ180" s="57"/>
      <c r="DK180" s="57"/>
      <c r="DL180" s="57"/>
      <c r="DM180" s="57"/>
      <c r="DN180" s="57"/>
      <c r="DO180" s="57"/>
      <c r="DP180" s="57"/>
      <c r="DQ180" s="57"/>
      <c r="DR180" s="57"/>
      <c r="DS180" s="57"/>
      <c r="DT180" s="57"/>
      <c r="DU180" s="57"/>
      <c r="DV180" s="57"/>
      <c r="DW180" s="57"/>
      <c r="DX180" s="57"/>
      <c r="DY180" s="57"/>
      <c r="DZ180" s="57"/>
      <c r="EA180" s="57"/>
      <c r="EB180" s="57"/>
      <c r="EC180" s="57"/>
      <c r="ED180" s="57"/>
      <c r="EE180" s="57"/>
      <c r="EF180" s="57"/>
      <c r="EG180" s="57"/>
      <c r="EH180" s="57"/>
      <c r="EI180" s="57"/>
      <c r="EJ180" s="57"/>
      <c r="EK180" s="57"/>
      <c r="EL180" s="57"/>
      <c r="EM180" s="57"/>
      <c r="EN180" s="57"/>
      <c r="EO180" s="57"/>
      <c r="EP180" s="57"/>
      <c r="EQ180" s="57"/>
      <c r="ER180" s="57"/>
      <c r="ES180" s="57"/>
      <c r="ET180" s="57"/>
      <c r="EU180" s="57"/>
      <c r="EV180" s="57"/>
      <c r="EW180" s="57"/>
      <c r="EX180" s="57"/>
      <c r="EY180" s="57"/>
      <c r="EZ180" s="57"/>
      <c r="FA180" s="57"/>
      <c r="FB180" s="57"/>
      <c r="FC180" s="57"/>
      <c r="FD180" s="57"/>
      <c r="FE180" s="57"/>
      <c r="FF180" s="57"/>
      <c r="FG180" s="57"/>
      <c r="FH180" s="57"/>
      <c r="FI180" s="57"/>
      <c r="FJ180" s="57"/>
      <c r="FK180" s="57"/>
      <c r="FL180" s="57"/>
      <c r="FM180" s="57"/>
      <c r="FN180" s="57"/>
      <c r="FO180" s="57"/>
      <c r="FP180" s="57"/>
      <c r="FQ180" s="57"/>
      <c r="FR180" s="57"/>
      <c r="FS180" s="57"/>
    </row>
    <row r="181" spans="1:175" x14ac:dyDescent="0.2">
      <c r="A181" s="58">
        <v>3</v>
      </c>
      <c r="B181" s="22">
        <v>3</v>
      </c>
      <c r="C181" s="7">
        <v>1</v>
      </c>
      <c r="D181" s="7">
        <v>2</v>
      </c>
      <c r="E181" s="23">
        <v>2</v>
      </c>
      <c r="F181" s="15"/>
      <c r="G181" s="7">
        <v>0</v>
      </c>
      <c r="H181" s="7">
        <v>1</v>
      </c>
      <c r="I181" s="7">
        <v>0</v>
      </c>
      <c r="J181" s="23">
        <v>0</v>
      </c>
      <c r="K181" s="15"/>
      <c r="L181" s="7">
        <v>0</v>
      </c>
      <c r="M181" s="7">
        <v>1</v>
      </c>
      <c r="N181" s="7">
        <v>0</v>
      </c>
      <c r="O181" s="23">
        <v>0</v>
      </c>
      <c r="P181" s="15"/>
      <c r="Q181" s="7">
        <v>1</v>
      </c>
      <c r="R181" s="7">
        <v>0</v>
      </c>
      <c r="S181" s="7">
        <v>0</v>
      </c>
      <c r="T181" s="23">
        <v>0</v>
      </c>
      <c r="U181" s="18"/>
      <c r="V181" s="56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7"/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  <c r="CM181" s="57"/>
      <c r="CN181" s="57"/>
      <c r="CO181" s="57"/>
      <c r="CP181" s="57"/>
      <c r="CQ181" s="57"/>
      <c r="CR181" s="57"/>
      <c r="CS181" s="57"/>
      <c r="CT181" s="57"/>
      <c r="CU181" s="57"/>
      <c r="CV181" s="57"/>
      <c r="CW181" s="57"/>
      <c r="CX181" s="57"/>
      <c r="CY181" s="57"/>
      <c r="CZ181" s="57"/>
      <c r="DA181" s="57"/>
      <c r="DB181" s="57"/>
      <c r="DC181" s="57"/>
      <c r="DD181" s="57"/>
      <c r="DE181" s="57"/>
      <c r="DF181" s="57"/>
      <c r="DG181" s="57"/>
      <c r="DH181" s="57"/>
      <c r="DI181" s="57"/>
      <c r="DJ181" s="57"/>
      <c r="DK181" s="57"/>
      <c r="DL181" s="57"/>
      <c r="DM181" s="57"/>
      <c r="DN181" s="57"/>
      <c r="DO181" s="57"/>
      <c r="DP181" s="57"/>
      <c r="DQ181" s="57"/>
      <c r="DR181" s="57"/>
      <c r="DS181" s="57"/>
      <c r="DT181" s="57"/>
      <c r="DU181" s="57"/>
      <c r="DV181" s="57"/>
      <c r="DW181" s="57"/>
      <c r="DX181" s="57"/>
      <c r="DY181" s="57"/>
      <c r="DZ181" s="57"/>
      <c r="EA181" s="57"/>
      <c r="EB181" s="57"/>
      <c r="EC181" s="57"/>
      <c r="ED181" s="57"/>
      <c r="EE181" s="57"/>
      <c r="EF181" s="57"/>
      <c r="EG181" s="57"/>
      <c r="EH181" s="57"/>
      <c r="EI181" s="57"/>
      <c r="EJ181" s="57"/>
      <c r="EK181" s="57"/>
      <c r="EL181" s="57"/>
      <c r="EM181" s="57"/>
      <c r="EN181" s="57"/>
      <c r="EO181" s="57"/>
      <c r="EP181" s="57"/>
      <c r="EQ181" s="57"/>
      <c r="ER181" s="57"/>
      <c r="ES181" s="57"/>
      <c r="ET181" s="57"/>
      <c r="EU181" s="57"/>
      <c r="EV181" s="57"/>
      <c r="EW181" s="57"/>
      <c r="EX181" s="57"/>
      <c r="EY181" s="57"/>
      <c r="EZ181" s="57"/>
      <c r="FA181" s="57"/>
      <c r="FB181" s="57"/>
      <c r="FC181" s="57"/>
      <c r="FD181" s="57"/>
      <c r="FE181" s="57"/>
      <c r="FF181" s="57"/>
      <c r="FG181" s="57"/>
      <c r="FH181" s="57"/>
      <c r="FI181" s="57"/>
      <c r="FJ181" s="57"/>
      <c r="FK181" s="57"/>
      <c r="FL181" s="57"/>
      <c r="FM181" s="57"/>
      <c r="FN181" s="57"/>
      <c r="FO181" s="57"/>
      <c r="FP181" s="57"/>
      <c r="FQ181" s="57"/>
      <c r="FR181" s="57"/>
      <c r="FS181" s="57"/>
    </row>
    <row r="182" spans="1:175" x14ac:dyDescent="0.2">
      <c r="A182" s="58">
        <v>4</v>
      </c>
      <c r="B182" s="22">
        <v>3</v>
      </c>
      <c r="C182" s="7">
        <v>0</v>
      </c>
      <c r="D182" s="7">
        <v>1</v>
      </c>
      <c r="E182" s="23">
        <v>3</v>
      </c>
      <c r="F182" s="19" t="s">
        <v>64</v>
      </c>
      <c r="G182" s="7">
        <v>1</v>
      </c>
      <c r="H182" s="7">
        <v>0</v>
      </c>
      <c r="I182" s="7">
        <v>0</v>
      </c>
      <c r="J182" s="23">
        <v>1</v>
      </c>
      <c r="K182" s="19" t="s">
        <v>64</v>
      </c>
      <c r="L182" s="7">
        <v>0</v>
      </c>
      <c r="M182" s="7">
        <v>1</v>
      </c>
      <c r="N182" s="7">
        <v>0</v>
      </c>
      <c r="O182" s="23">
        <v>3</v>
      </c>
      <c r="P182" s="19" t="s">
        <v>64</v>
      </c>
      <c r="Q182" s="7">
        <v>2</v>
      </c>
      <c r="R182" s="7">
        <v>0</v>
      </c>
      <c r="S182" s="7">
        <v>1</v>
      </c>
      <c r="T182" s="23">
        <v>0</v>
      </c>
      <c r="U182" s="20" t="s">
        <v>64</v>
      </c>
      <c r="V182" s="56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7"/>
      <c r="CO182" s="57"/>
      <c r="CP182" s="57"/>
      <c r="CQ182" s="57"/>
      <c r="CR182" s="57"/>
      <c r="CS182" s="57"/>
      <c r="CT182" s="57"/>
      <c r="CU182" s="57"/>
      <c r="CV182" s="57"/>
      <c r="CW182" s="57"/>
      <c r="CX182" s="57"/>
      <c r="CY182" s="57"/>
      <c r="CZ182" s="57"/>
      <c r="DA182" s="57"/>
      <c r="DB182" s="57"/>
      <c r="DC182" s="57"/>
      <c r="DD182" s="57"/>
      <c r="DE182" s="57"/>
      <c r="DF182" s="57"/>
      <c r="DG182" s="57"/>
      <c r="DH182" s="57"/>
      <c r="DI182" s="57"/>
      <c r="DJ182" s="57"/>
      <c r="DK182" s="57"/>
      <c r="DL182" s="57"/>
      <c r="DM182" s="57"/>
      <c r="DN182" s="57"/>
      <c r="DO182" s="57"/>
      <c r="DP182" s="57"/>
      <c r="DQ182" s="57"/>
      <c r="DR182" s="57"/>
      <c r="DS182" s="57"/>
      <c r="DT182" s="57"/>
      <c r="DU182" s="57"/>
      <c r="DV182" s="57"/>
      <c r="DW182" s="57"/>
      <c r="DX182" s="57"/>
      <c r="DY182" s="57"/>
      <c r="DZ182" s="57"/>
      <c r="EA182" s="57"/>
      <c r="EB182" s="57"/>
      <c r="EC182" s="57"/>
      <c r="ED182" s="57"/>
      <c r="EE182" s="57"/>
      <c r="EF182" s="57"/>
      <c r="EG182" s="57"/>
      <c r="EH182" s="57"/>
      <c r="EI182" s="57"/>
      <c r="EJ182" s="57"/>
      <c r="EK182" s="57"/>
      <c r="EL182" s="57"/>
      <c r="EM182" s="57"/>
      <c r="EN182" s="57"/>
      <c r="EO182" s="57"/>
      <c r="EP182" s="57"/>
      <c r="EQ182" s="57"/>
      <c r="ER182" s="57"/>
      <c r="ES182" s="57"/>
      <c r="ET182" s="57"/>
      <c r="EU182" s="57"/>
      <c r="EV182" s="57"/>
      <c r="EW182" s="57"/>
      <c r="EX182" s="57"/>
      <c r="EY182" s="57"/>
      <c r="EZ182" s="57"/>
      <c r="FA182" s="57"/>
      <c r="FB182" s="57"/>
      <c r="FC182" s="57"/>
      <c r="FD182" s="57"/>
      <c r="FE182" s="57"/>
      <c r="FF182" s="57"/>
      <c r="FG182" s="57"/>
      <c r="FH182" s="57"/>
      <c r="FI182" s="57"/>
      <c r="FJ182" s="57"/>
      <c r="FK182" s="57"/>
      <c r="FL182" s="57"/>
      <c r="FM182" s="57"/>
      <c r="FN182" s="57"/>
      <c r="FO182" s="57"/>
      <c r="FP182" s="57"/>
      <c r="FQ182" s="57"/>
      <c r="FR182" s="57"/>
      <c r="FS182" s="57"/>
    </row>
    <row r="183" spans="1:175" x14ac:dyDescent="0.2">
      <c r="A183" s="58">
        <v>5</v>
      </c>
      <c r="B183" s="22">
        <v>0</v>
      </c>
      <c r="C183" s="7">
        <v>8</v>
      </c>
      <c r="D183" s="7">
        <v>1</v>
      </c>
      <c r="E183" s="23">
        <v>0</v>
      </c>
      <c r="F183" s="15">
        <f>(F180*10)*1750</f>
        <v>196875</v>
      </c>
      <c r="G183" s="7">
        <v>0</v>
      </c>
      <c r="H183" s="7">
        <v>0</v>
      </c>
      <c r="I183" s="7">
        <v>0</v>
      </c>
      <c r="J183" s="23">
        <v>0</v>
      </c>
      <c r="K183" s="15">
        <f>(K180*10)*1750</f>
        <v>21875</v>
      </c>
      <c r="L183" s="7">
        <v>2</v>
      </c>
      <c r="M183" s="7">
        <v>0</v>
      </c>
      <c r="N183" s="7">
        <v>4</v>
      </c>
      <c r="O183" s="23">
        <v>0</v>
      </c>
      <c r="P183" s="15">
        <f>(P180*10)*1750</f>
        <v>56875</v>
      </c>
      <c r="Q183" s="7">
        <v>0</v>
      </c>
      <c r="R183" s="7">
        <v>2</v>
      </c>
      <c r="S183" s="7">
        <v>1</v>
      </c>
      <c r="T183" s="23">
        <v>2</v>
      </c>
      <c r="U183" s="18">
        <f>(U180*10)*1000</f>
        <v>25000</v>
      </c>
      <c r="V183" s="56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57"/>
      <c r="BS183" s="57"/>
      <c r="BT183" s="57"/>
      <c r="BU183" s="57"/>
      <c r="BV183" s="57"/>
      <c r="BW183" s="57"/>
      <c r="BX183" s="57"/>
      <c r="BY183" s="57"/>
      <c r="BZ183" s="57"/>
      <c r="CA183" s="57"/>
      <c r="CB183" s="57"/>
      <c r="CC183" s="57"/>
      <c r="CD183" s="57"/>
      <c r="CE183" s="57"/>
      <c r="CF183" s="57"/>
      <c r="CG183" s="57"/>
      <c r="CH183" s="57"/>
      <c r="CI183" s="57"/>
      <c r="CJ183" s="57"/>
      <c r="CK183" s="57"/>
      <c r="CL183" s="57"/>
      <c r="CM183" s="57"/>
      <c r="CN183" s="57"/>
      <c r="CO183" s="57"/>
      <c r="CP183" s="57"/>
      <c r="CQ183" s="57"/>
      <c r="CR183" s="57"/>
      <c r="CS183" s="57"/>
      <c r="CT183" s="57"/>
      <c r="CU183" s="57"/>
      <c r="CV183" s="57"/>
      <c r="CW183" s="57"/>
      <c r="CX183" s="57"/>
      <c r="CY183" s="57"/>
      <c r="CZ183" s="57"/>
      <c r="DA183" s="57"/>
      <c r="DB183" s="57"/>
      <c r="DC183" s="57"/>
      <c r="DD183" s="57"/>
      <c r="DE183" s="57"/>
      <c r="DF183" s="57"/>
      <c r="DG183" s="57"/>
      <c r="DH183" s="57"/>
      <c r="DI183" s="57"/>
      <c r="DJ183" s="57"/>
      <c r="DK183" s="57"/>
      <c r="DL183" s="57"/>
      <c r="DM183" s="57"/>
      <c r="DN183" s="57"/>
      <c r="DO183" s="57"/>
      <c r="DP183" s="57"/>
      <c r="DQ183" s="57"/>
      <c r="DR183" s="57"/>
      <c r="DS183" s="57"/>
      <c r="DT183" s="57"/>
      <c r="DU183" s="57"/>
      <c r="DV183" s="57"/>
      <c r="DW183" s="57"/>
      <c r="DX183" s="57"/>
      <c r="DY183" s="57"/>
      <c r="DZ183" s="57"/>
      <c r="EA183" s="57"/>
      <c r="EB183" s="57"/>
      <c r="EC183" s="57"/>
      <c r="ED183" s="57"/>
      <c r="EE183" s="57"/>
      <c r="EF183" s="57"/>
      <c r="EG183" s="57"/>
      <c r="EH183" s="57"/>
      <c r="EI183" s="57"/>
      <c r="EJ183" s="57"/>
      <c r="EK183" s="57"/>
      <c r="EL183" s="57"/>
      <c r="EM183" s="57"/>
      <c r="EN183" s="57"/>
      <c r="EO183" s="57"/>
      <c r="EP183" s="57"/>
      <c r="EQ183" s="57"/>
      <c r="ER183" s="57"/>
      <c r="ES183" s="57"/>
      <c r="ET183" s="57"/>
      <c r="EU183" s="57"/>
      <c r="EV183" s="57"/>
      <c r="EW183" s="57"/>
      <c r="EX183" s="57"/>
      <c r="EY183" s="57"/>
      <c r="EZ183" s="57"/>
      <c r="FA183" s="57"/>
      <c r="FB183" s="57"/>
      <c r="FC183" s="57"/>
      <c r="FD183" s="57"/>
      <c r="FE183" s="57"/>
      <c r="FF183" s="57"/>
      <c r="FG183" s="57"/>
      <c r="FH183" s="57"/>
      <c r="FI183" s="57"/>
      <c r="FJ183" s="57"/>
      <c r="FK183" s="57"/>
      <c r="FL183" s="57"/>
      <c r="FM183" s="57"/>
      <c r="FN183" s="57"/>
      <c r="FO183" s="57"/>
      <c r="FP183" s="57"/>
      <c r="FQ183" s="57"/>
      <c r="FR183" s="57"/>
      <c r="FS183" s="57"/>
    </row>
    <row r="184" spans="1:175" x14ac:dyDescent="0.2">
      <c r="A184" s="58">
        <v>6</v>
      </c>
      <c r="B184" s="22">
        <v>0</v>
      </c>
      <c r="C184" s="7">
        <v>2</v>
      </c>
      <c r="D184" s="7">
        <v>0</v>
      </c>
      <c r="E184" s="23">
        <v>1</v>
      </c>
      <c r="F184" s="15"/>
      <c r="G184" s="7">
        <v>0</v>
      </c>
      <c r="H184" s="7">
        <v>0</v>
      </c>
      <c r="I184" s="7">
        <v>0</v>
      </c>
      <c r="J184" s="23">
        <v>0</v>
      </c>
      <c r="K184" s="15"/>
      <c r="L184" s="7">
        <v>0</v>
      </c>
      <c r="M184" s="7">
        <v>0</v>
      </c>
      <c r="N184" s="7">
        <v>1</v>
      </c>
      <c r="O184" s="23">
        <v>0</v>
      </c>
      <c r="P184" s="15"/>
      <c r="Q184" s="7">
        <v>1</v>
      </c>
      <c r="R184" s="7">
        <v>0</v>
      </c>
      <c r="S184" s="7">
        <v>0</v>
      </c>
      <c r="T184" s="23">
        <v>0</v>
      </c>
      <c r="U184" s="18"/>
      <c r="V184" s="56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/>
      <c r="CB184" s="57"/>
      <c r="CC184" s="57"/>
      <c r="CD184" s="57"/>
      <c r="CE184" s="57"/>
      <c r="CF184" s="57"/>
      <c r="CG184" s="57"/>
      <c r="CH184" s="57"/>
      <c r="CI184" s="57"/>
      <c r="CJ184" s="57"/>
      <c r="CK184" s="57"/>
      <c r="CL184" s="57"/>
      <c r="CM184" s="57"/>
      <c r="CN184" s="57"/>
      <c r="CO184" s="57"/>
      <c r="CP184" s="57"/>
      <c r="CQ184" s="57"/>
      <c r="CR184" s="57"/>
      <c r="CS184" s="57"/>
      <c r="CT184" s="57"/>
      <c r="CU184" s="57"/>
      <c r="CV184" s="57"/>
      <c r="CW184" s="57"/>
      <c r="CX184" s="57"/>
      <c r="CY184" s="57"/>
      <c r="CZ184" s="57"/>
      <c r="DA184" s="57"/>
      <c r="DB184" s="57"/>
      <c r="DC184" s="57"/>
      <c r="DD184" s="57"/>
      <c r="DE184" s="57"/>
      <c r="DF184" s="57"/>
      <c r="DG184" s="57"/>
      <c r="DH184" s="57"/>
      <c r="DI184" s="57"/>
      <c r="DJ184" s="57"/>
      <c r="DK184" s="57"/>
      <c r="DL184" s="57"/>
      <c r="DM184" s="57"/>
      <c r="DN184" s="57"/>
      <c r="DO184" s="57"/>
      <c r="DP184" s="57"/>
      <c r="DQ184" s="57"/>
      <c r="DR184" s="57"/>
      <c r="DS184" s="57"/>
      <c r="DT184" s="57"/>
      <c r="DU184" s="57"/>
      <c r="DV184" s="57"/>
      <c r="DW184" s="57"/>
      <c r="DX184" s="57"/>
      <c r="DY184" s="57"/>
      <c r="DZ184" s="57"/>
      <c r="EA184" s="57"/>
      <c r="EB184" s="57"/>
      <c r="EC184" s="57"/>
      <c r="ED184" s="57"/>
      <c r="EE184" s="57"/>
      <c r="EF184" s="57"/>
      <c r="EG184" s="57"/>
      <c r="EH184" s="57"/>
      <c r="EI184" s="57"/>
      <c r="EJ184" s="57"/>
      <c r="EK184" s="57"/>
      <c r="EL184" s="57"/>
      <c r="EM184" s="57"/>
      <c r="EN184" s="57"/>
      <c r="EO184" s="57"/>
      <c r="EP184" s="57"/>
      <c r="EQ184" s="57"/>
      <c r="ER184" s="57"/>
      <c r="ES184" s="57"/>
      <c r="ET184" s="57"/>
      <c r="EU184" s="57"/>
      <c r="EV184" s="57"/>
      <c r="EW184" s="57"/>
      <c r="EX184" s="57"/>
      <c r="EY184" s="57"/>
      <c r="EZ184" s="57"/>
      <c r="FA184" s="57"/>
      <c r="FB184" s="57"/>
      <c r="FC184" s="57"/>
      <c r="FD184" s="57"/>
      <c r="FE184" s="57"/>
      <c r="FF184" s="57"/>
      <c r="FG184" s="57"/>
      <c r="FH184" s="57"/>
      <c r="FI184" s="57"/>
      <c r="FJ184" s="57"/>
      <c r="FK184" s="57"/>
      <c r="FL184" s="57"/>
      <c r="FM184" s="57"/>
      <c r="FN184" s="57"/>
      <c r="FO184" s="57"/>
      <c r="FP184" s="57"/>
      <c r="FQ184" s="57"/>
      <c r="FR184" s="57"/>
      <c r="FS184" s="57"/>
    </row>
    <row r="185" spans="1:175" x14ac:dyDescent="0.2">
      <c r="A185" s="58">
        <v>7</v>
      </c>
      <c r="B185" s="22">
        <v>0</v>
      </c>
      <c r="C185" s="7">
        <v>5</v>
      </c>
      <c r="D185" s="7">
        <v>1</v>
      </c>
      <c r="E185" s="23">
        <v>0</v>
      </c>
      <c r="F185" s="15"/>
      <c r="G185" s="7">
        <v>0</v>
      </c>
      <c r="H185" s="7">
        <v>0</v>
      </c>
      <c r="I185" s="7">
        <v>0</v>
      </c>
      <c r="J185" s="23">
        <v>0</v>
      </c>
      <c r="K185" s="15"/>
      <c r="L185" s="7">
        <v>0</v>
      </c>
      <c r="M185" s="7">
        <v>0</v>
      </c>
      <c r="N185" s="7">
        <v>0</v>
      </c>
      <c r="O185" s="23">
        <v>0</v>
      </c>
      <c r="P185" s="15"/>
      <c r="Q185" s="7">
        <v>0</v>
      </c>
      <c r="R185" s="7">
        <v>0</v>
      </c>
      <c r="S185" s="7">
        <v>0</v>
      </c>
      <c r="T185" s="23">
        <v>0</v>
      </c>
      <c r="U185" s="18"/>
      <c r="V185" s="56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7"/>
      <c r="CC185" s="57"/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7"/>
      <c r="CO185" s="57"/>
      <c r="CP185" s="57"/>
      <c r="CQ185" s="57"/>
      <c r="CR185" s="57"/>
      <c r="CS185" s="57"/>
      <c r="CT185" s="57"/>
      <c r="CU185" s="57"/>
      <c r="CV185" s="57"/>
      <c r="CW185" s="57"/>
      <c r="CX185" s="57"/>
      <c r="CY185" s="57"/>
      <c r="CZ185" s="57"/>
      <c r="DA185" s="57"/>
      <c r="DB185" s="57"/>
      <c r="DC185" s="57"/>
      <c r="DD185" s="57"/>
      <c r="DE185" s="57"/>
      <c r="DF185" s="57"/>
      <c r="DG185" s="57"/>
      <c r="DH185" s="57"/>
      <c r="DI185" s="57"/>
      <c r="DJ185" s="57"/>
      <c r="DK185" s="57"/>
      <c r="DL185" s="57"/>
      <c r="DM185" s="57"/>
      <c r="DN185" s="57"/>
      <c r="DO185" s="57"/>
      <c r="DP185" s="57"/>
      <c r="DQ185" s="57"/>
      <c r="DR185" s="57"/>
      <c r="DS185" s="57"/>
      <c r="DT185" s="57"/>
      <c r="DU185" s="57"/>
      <c r="DV185" s="57"/>
      <c r="DW185" s="57"/>
      <c r="DX185" s="57"/>
      <c r="DY185" s="57"/>
      <c r="DZ185" s="57"/>
      <c r="EA185" s="57"/>
      <c r="EB185" s="57"/>
      <c r="EC185" s="57"/>
      <c r="ED185" s="57"/>
      <c r="EE185" s="57"/>
      <c r="EF185" s="57"/>
      <c r="EG185" s="57"/>
      <c r="EH185" s="57"/>
      <c r="EI185" s="57"/>
      <c r="EJ185" s="57"/>
      <c r="EK185" s="57"/>
      <c r="EL185" s="57"/>
      <c r="EM185" s="57"/>
      <c r="EN185" s="57"/>
      <c r="EO185" s="57"/>
      <c r="EP185" s="57"/>
      <c r="EQ185" s="57"/>
      <c r="ER185" s="57"/>
      <c r="ES185" s="57"/>
      <c r="ET185" s="57"/>
      <c r="EU185" s="57"/>
      <c r="EV185" s="57"/>
      <c r="EW185" s="57"/>
      <c r="EX185" s="57"/>
      <c r="EY185" s="57"/>
      <c r="EZ185" s="57"/>
      <c r="FA185" s="57"/>
      <c r="FB185" s="57"/>
      <c r="FC185" s="57"/>
      <c r="FD185" s="57"/>
      <c r="FE185" s="57"/>
      <c r="FF185" s="57"/>
      <c r="FG185" s="57"/>
      <c r="FH185" s="57"/>
      <c r="FI185" s="57"/>
      <c r="FJ185" s="57"/>
      <c r="FK185" s="57"/>
      <c r="FL185" s="57"/>
      <c r="FM185" s="57"/>
      <c r="FN185" s="57"/>
      <c r="FO185" s="57"/>
      <c r="FP185" s="57"/>
      <c r="FQ185" s="57"/>
      <c r="FR185" s="57"/>
      <c r="FS185" s="57"/>
    </row>
    <row r="186" spans="1:175" x14ac:dyDescent="0.2">
      <c r="A186" s="58">
        <v>8</v>
      </c>
      <c r="B186" s="22">
        <v>1</v>
      </c>
      <c r="C186" s="7">
        <v>1</v>
      </c>
      <c r="D186" s="7">
        <v>1</v>
      </c>
      <c r="E186" s="23">
        <v>2</v>
      </c>
      <c r="F186" s="15"/>
      <c r="G186" s="7">
        <v>0</v>
      </c>
      <c r="H186" s="7">
        <v>0</v>
      </c>
      <c r="I186" s="7">
        <v>0</v>
      </c>
      <c r="J186" s="23">
        <v>0</v>
      </c>
      <c r="K186" s="15"/>
      <c r="L186" s="7">
        <v>0</v>
      </c>
      <c r="M186" s="7">
        <v>0</v>
      </c>
      <c r="N186" s="7">
        <v>0</v>
      </c>
      <c r="O186" s="23">
        <v>0</v>
      </c>
      <c r="P186" s="15"/>
      <c r="Q186" s="7">
        <v>0</v>
      </c>
      <c r="R186" s="7">
        <v>0</v>
      </c>
      <c r="S186" s="7">
        <v>0</v>
      </c>
      <c r="T186" s="23">
        <v>0</v>
      </c>
      <c r="U186" s="18"/>
      <c r="V186" s="56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7"/>
      <c r="CS186" s="57"/>
      <c r="CT186" s="57"/>
      <c r="CU186" s="57"/>
      <c r="CV186" s="57"/>
      <c r="CW186" s="57"/>
      <c r="CX186" s="57"/>
      <c r="CY186" s="57"/>
      <c r="CZ186" s="57"/>
      <c r="DA186" s="57"/>
      <c r="DB186" s="57"/>
      <c r="DC186" s="57"/>
      <c r="DD186" s="57"/>
      <c r="DE186" s="57"/>
      <c r="DF186" s="57"/>
      <c r="DG186" s="57"/>
      <c r="DH186" s="57"/>
      <c r="DI186" s="57"/>
      <c r="DJ186" s="57"/>
      <c r="DK186" s="57"/>
      <c r="DL186" s="57"/>
      <c r="DM186" s="57"/>
      <c r="DN186" s="57"/>
      <c r="DO186" s="57"/>
      <c r="DP186" s="57"/>
      <c r="DQ186" s="57"/>
      <c r="DR186" s="57"/>
      <c r="DS186" s="57"/>
      <c r="DT186" s="57"/>
      <c r="DU186" s="57"/>
      <c r="DV186" s="57"/>
      <c r="DW186" s="57"/>
      <c r="DX186" s="57"/>
      <c r="DY186" s="57"/>
      <c r="DZ186" s="57"/>
      <c r="EA186" s="57"/>
      <c r="EB186" s="57"/>
      <c r="EC186" s="57"/>
      <c r="ED186" s="57"/>
      <c r="EE186" s="57"/>
      <c r="EF186" s="57"/>
      <c r="EG186" s="57"/>
      <c r="EH186" s="57"/>
      <c r="EI186" s="57"/>
      <c r="EJ186" s="57"/>
      <c r="EK186" s="57"/>
      <c r="EL186" s="57"/>
      <c r="EM186" s="57"/>
      <c r="EN186" s="57"/>
      <c r="EO186" s="57"/>
      <c r="EP186" s="57"/>
      <c r="EQ186" s="57"/>
      <c r="ER186" s="57"/>
      <c r="ES186" s="57"/>
      <c r="ET186" s="57"/>
      <c r="EU186" s="57"/>
      <c r="EV186" s="57"/>
      <c r="EW186" s="57"/>
      <c r="EX186" s="57"/>
      <c r="EY186" s="57"/>
      <c r="EZ186" s="57"/>
      <c r="FA186" s="57"/>
      <c r="FB186" s="57"/>
      <c r="FC186" s="57"/>
      <c r="FD186" s="57"/>
      <c r="FE186" s="57"/>
      <c r="FF186" s="57"/>
      <c r="FG186" s="57"/>
      <c r="FH186" s="57"/>
      <c r="FI186" s="57"/>
      <c r="FJ186" s="57"/>
      <c r="FK186" s="57"/>
      <c r="FL186" s="57"/>
      <c r="FM186" s="57"/>
      <c r="FN186" s="57"/>
      <c r="FO186" s="57"/>
      <c r="FP186" s="57"/>
      <c r="FQ186" s="57"/>
      <c r="FR186" s="57"/>
      <c r="FS186" s="57"/>
    </row>
    <row r="187" spans="1:175" x14ac:dyDescent="0.2">
      <c r="A187" s="59"/>
      <c r="B187" s="60" t="s">
        <v>64</v>
      </c>
      <c r="C187" s="36" t="s">
        <v>64</v>
      </c>
      <c r="D187" s="36" t="s">
        <v>64</v>
      </c>
      <c r="E187" s="36" t="s">
        <v>64</v>
      </c>
      <c r="F187" s="19"/>
      <c r="G187" s="60" t="s">
        <v>64</v>
      </c>
      <c r="H187" s="36" t="s">
        <v>64</v>
      </c>
      <c r="I187" s="36" t="s">
        <v>64</v>
      </c>
      <c r="J187" s="36" t="s">
        <v>64</v>
      </c>
      <c r="K187" s="19"/>
      <c r="L187" s="60" t="s">
        <v>64</v>
      </c>
      <c r="M187" s="36" t="s">
        <v>64</v>
      </c>
      <c r="N187" s="36" t="s">
        <v>64</v>
      </c>
      <c r="O187" s="36" t="s">
        <v>64</v>
      </c>
      <c r="P187" s="19"/>
      <c r="Q187" s="60" t="s">
        <v>64</v>
      </c>
      <c r="R187" s="36" t="s">
        <v>64</v>
      </c>
      <c r="S187" s="36" t="s">
        <v>64</v>
      </c>
      <c r="T187" s="36" t="s">
        <v>64</v>
      </c>
      <c r="U187" s="20"/>
      <c r="V187" s="56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/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7"/>
      <c r="CO187" s="57"/>
      <c r="CP187" s="57"/>
      <c r="CQ187" s="57"/>
      <c r="CR187" s="57"/>
      <c r="CS187" s="57"/>
      <c r="CT187" s="57"/>
      <c r="CU187" s="57"/>
      <c r="CV187" s="57"/>
      <c r="CW187" s="57"/>
      <c r="CX187" s="57"/>
      <c r="CY187" s="57"/>
      <c r="CZ187" s="57"/>
      <c r="DA187" s="57"/>
      <c r="DB187" s="57"/>
      <c r="DC187" s="57"/>
      <c r="DD187" s="57"/>
      <c r="DE187" s="57"/>
      <c r="DF187" s="57"/>
      <c r="DG187" s="57"/>
      <c r="DH187" s="57"/>
      <c r="DI187" s="57"/>
      <c r="DJ187" s="57"/>
      <c r="DK187" s="57"/>
      <c r="DL187" s="57"/>
      <c r="DM187" s="57"/>
      <c r="DN187" s="57"/>
      <c r="DO187" s="57"/>
      <c r="DP187" s="57"/>
      <c r="DQ187" s="57"/>
      <c r="DR187" s="57"/>
      <c r="DS187" s="57"/>
      <c r="DT187" s="57"/>
      <c r="DU187" s="57"/>
      <c r="DV187" s="57"/>
      <c r="DW187" s="57"/>
      <c r="DX187" s="57"/>
      <c r="DY187" s="57"/>
      <c r="DZ187" s="57"/>
      <c r="EA187" s="57"/>
      <c r="EB187" s="57"/>
      <c r="EC187" s="57"/>
      <c r="ED187" s="57"/>
      <c r="EE187" s="57"/>
      <c r="EF187" s="57"/>
      <c r="EG187" s="57"/>
      <c r="EH187" s="57"/>
      <c r="EI187" s="57"/>
      <c r="EJ187" s="57"/>
      <c r="EK187" s="57"/>
      <c r="EL187" s="57"/>
      <c r="EM187" s="57"/>
      <c r="EN187" s="57"/>
      <c r="EO187" s="57"/>
      <c r="EP187" s="57"/>
      <c r="EQ187" s="57"/>
      <c r="ER187" s="57"/>
      <c r="ES187" s="57"/>
      <c r="ET187" s="57"/>
      <c r="EU187" s="57"/>
      <c r="EV187" s="57"/>
      <c r="EW187" s="57"/>
      <c r="EX187" s="57"/>
      <c r="EY187" s="57"/>
      <c r="EZ187" s="57"/>
      <c r="FA187" s="57"/>
      <c r="FB187" s="57"/>
      <c r="FC187" s="57"/>
      <c r="FD187" s="57"/>
      <c r="FE187" s="57"/>
      <c r="FF187" s="57"/>
      <c r="FG187" s="57"/>
      <c r="FH187" s="57"/>
      <c r="FI187" s="57"/>
      <c r="FJ187" s="57"/>
      <c r="FK187" s="57"/>
      <c r="FL187" s="57"/>
      <c r="FM187" s="57"/>
      <c r="FN187" s="57"/>
      <c r="FO187" s="57"/>
      <c r="FP187" s="57"/>
      <c r="FQ187" s="57"/>
      <c r="FR187" s="57"/>
      <c r="FS187" s="57"/>
    </row>
    <row r="188" spans="1:175" x14ac:dyDescent="0.2">
      <c r="A188" s="61"/>
      <c r="B188" s="62">
        <f>SUM(B179:B186)</f>
        <v>11</v>
      </c>
      <c r="C188" s="62">
        <f t="shared" ref="C188:E188" si="64">SUM(C179:C186)</f>
        <v>18</v>
      </c>
      <c r="D188" s="62">
        <f t="shared" si="64"/>
        <v>7</v>
      </c>
      <c r="E188" s="62">
        <f t="shared" si="64"/>
        <v>9</v>
      </c>
      <c r="F188" s="33"/>
      <c r="G188" s="62">
        <f>SUM(G179:G186)</f>
        <v>2</v>
      </c>
      <c r="H188" s="62">
        <f t="shared" ref="H188:J188" si="65">SUM(H179:H186)</f>
        <v>2</v>
      </c>
      <c r="I188" s="62">
        <f t="shared" si="65"/>
        <v>0</v>
      </c>
      <c r="J188" s="62">
        <f t="shared" si="65"/>
        <v>1</v>
      </c>
      <c r="K188" s="33"/>
      <c r="L188" s="62">
        <f>SUM(L179:L186)</f>
        <v>2</v>
      </c>
      <c r="M188" s="62">
        <f t="shared" ref="M188:O188" si="66">SUM(M179:M186)</f>
        <v>3</v>
      </c>
      <c r="N188" s="62">
        <f t="shared" si="66"/>
        <v>5</v>
      </c>
      <c r="O188" s="62">
        <f t="shared" si="66"/>
        <v>3</v>
      </c>
      <c r="P188" s="33"/>
      <c r="Q188" s="62">
        <f>SUM(Q179:Q186)</f>
        <v>4</v>
      </c>
      <c r="R188" s="62">
        <f t="shared" ref="R188:T188" si="67">SUM(R179:R186)</f>
        <v>2</v>
      </c>
      <c r="S188" s="62">
        <f t="shared" si="67"/>
        <v>2</v>
      </c>
      <c r="T188" s="62">
        <f t="shared" si="67"/>
        <v>2</v>
      </c>
      <c r="U188" s="34"/>
      <c r="V188" s="56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7"/>
      <c r="CO188" s="57"/>
      <c r="CP188" s="57"/>
      <c r="CQ188" s="57"/>
      <c r="CR188" s="57"/>
      <c r="CS188" s="57"/>
      <c r="CT188" s="57"/>
      <c r="CU188" s="57"/>
      <c r="CV188" s="57"/>
      <c r="CW188" s="57"/>
      <c r="CX188" s="57"/>
      <c r="CY188" s="57"/>
      <c r="CZ188" s="57"/>
      <c r="DA188" s="57"/>
      <c r="DB188" s="57"/>
      <c r="DC188" s="57"/>
      <c r="DD188" s="57"/>
      <c r="DE188" s="57"/>
      <c r="DF188" s="57"/>
      <c r="DG188" s="57"/>
      <c r="DH188" s="57"/>
      <c r="DI188" s="57"/>
      <c r="DJ188" s="57"/>
      <c r="DK188" s="57"/>
      <c r="DL188" s="57"/>
      <c r="DM188" s="57"/>
      <c r="DN188" s="57"/>
      <c r="DO188" s="57"/>
      <c r="DP188" s="57"/>
      <c r="DQ188" s="57"/>
      <c r="DR188" s="57"/>
      <c r="DS188" s="57"/>
      <c r="DT188" s="57"/>
      <c r="DU188" s="57"/>
      <c r="DV188" s="57"/>
      <c r="DW188" s="57"/>
      <c r="DX188" s="57"/>
      <c r="DY188" s="57"/>
      <c r="DZ188" s="57"/>
      <c r="EA188" s="57"/>
      <c r="EB188" s="57"/>
      <c r="EC188" s="57"/>
      <c r="ED188" s="57"/>
      <c r="EE188" s="57"/>
      <c r="EF188" s="57"/>
      <c r="EG188" s="57"/>
      <c r="EH188" s="57"/>
      <c r="EI188" s="57"/>
      <c r="EJ188" s="57"/>
      <c r="EK188" s="57"/>
      <c r="EL188" s="57"/>
      <c r="EM188" s="57"/>
      <c r="EN188" s="57"/>
      <c r="EO188" s="57"/>
      <c r="EP188" s="57"/>
      <c r="EQ188" s="57"/>
      <c r="ER188" s="57"/>
      <c r="ES188" s="57"/>
      <c r="ET188" s="57"/>
      <c r="EU188" s="57"/>
      <c r="EV188" s="57"/>
      <c r="EW188" s="57"/>
      <c r="EX188" s="57"/>
      <c r="EY188" s="57"/>
      <c r="EZ188" s="57"/>
      <c r="FA188" s="57"/>
      <c r="FB188" s="57"/>
      <c r="FC188" s="57"/>
      <c r="FD188" s="57"/>
      <c r="FE188" s="57"/>
      <c r="FF188" s="57"/>
      <c r="FG188" s="57"/>
      <c r="FH188" s="57"/>
      <c r="FI188" s="57"/>
      <c r="FJ188" s="57"/>
      <c r="FK188" s="57"/>
      <c r="FL188" s="57"/>
      <c r="FM188" s="57"/>
      <c r="FN188" s="57"/>
      <c r="FO188" s="57"/>
      <c r="FP188" s="57"/>
      <c r="FQ188" s="57"/>
      <c r="FR188" s="57"/>
      <c r="FS188" s="57"/>
    </row>
    <row r="189" spans="1:175" x14ac:dyDescent="0.2">
      <c r="B189" s="5"/>
      <c r="F189" s="5"/>
      <c r="G189" s="5"/>
      <c r="K189" s="5"/>
      <c r="L189" s="5"/>
      <c r="P189" s="5"/>
      <c r="Q189"/>
      <c r="U189"/>
    </row>
    <row r="190" spans="1:175" x14ac:dyDescent="0.2">
      <c r="B190" s="5"/>
      <c r="F190" s="5"/>
      <c r="G190" s="5"/>
      <c r="K190" s="5"/>
      <c r="L190" s="5"/>
      <c r="P190" s="5"/>
      <c r="Q190"/>
      <c r="U190"/>
    </row>
    <row r="191" spans="1:175" x14ac:dyDescent="0.2">
      <c r="B191" s="5"/>
      <c r="F191" s="5"/>
      <c r="G191" s="5"/>
      <c r="K191" s="5"/>
      <c r="L191" s="5"/>
      <c r="P191" s="5"/>
      <c r="Q191"/>
      <c r="U191"/>
    </row>
    <row r="192" spans="1:175" x14ac:dyDescent="0.2">
      <c r="B192" s="5"/>
      <c r="F192" s="5"/>
      <c r="G192" s="5"/>
      <c r="K192" s="5"/>
      <c r="L192" s="5"/>
      <c r="P192" s="5"/>
      <c r="Q192"/>
      <c r="U192"/>
    </row>
    <row r="193" spans="2:21" x14ac:dyDescent="0.2">
      <c r="B193" s="5"/>
      <c r="F193" s="5"/>
      <c r="G193" s="5"/>
      <c r="K193" s="5"/>
      <c r="L193" s="5"/>
      <c r="P193" s="5"/>
      <c r="Q193"/>
      <c r="U193"/>
    </row>
    <row r="194" spans="2:21" x14ac:dyDescent="0.2">
      <c r="B194" s="5"/>
      <c r="F194" s="5"/>
      <c r="G194" s="5"/>
      <c r="K194" s="5"/>
      <c r="L194" s="5"/>
      <c r="P194" s="5"/>
      <c r="Q194"/>
      <c r="U194"/>
    </row>
    <row r="195" spans="2:21" x14ac:dyDescent="0.2">
      <c r="B195" s="5"/>
      <c r="F195" s="5"/>
      <c r="G195" s="5"/>
      <c r="K195" s="5"/>
      <c r="L195" s="5"/>
      <c r="P195" s="5"/>
      <c r="Q195"/>
      <c r="U195"/>
    </row>
    <row r="196" spans="2:21" x14ac:dyDescent="0.2">
      <c r="B196" s="5"/>
      <c r="F196" s="5"/>
      <c r="G196" s="5"/>
      <c r="K196" s="5"/>
      <c r="L196" s="5"/>
      <c r="P196" s="5"/>
      <c r="Q196"/>
      <c r="U196"/>
    </row>
    <row r="197" spans="2:21" x14ac:dyDescent="0.2">
      <c r="B197" s="5"/>
      <c r="F197" s="5"/>
      <c r="G197" s="5"/>
      <c r="K197" s="5"/>
      <c r="L197" s="5"/>
      <c r="P197" s="5"/>
      <c r="Q197"/>
      <c r="U197"/>
    </row>
    <row r="198" spans="2:21" x14ac:dyDescent="0.2">
      <c r="B198" s="5"/>
      <c r="F198" s="5"/>
      <c r="G198" s="5"/>
      <c r="K198" s="5"/>
      <c r="L198" s="5"/>
      <c r="P198" s="5"/>
      <c r="Q198"/>
      <c r="U198"/>
    </row>
    <row r="199" spans="2:21" x14ac:dyDescent="0.2">
      <c r="B199" s="5"/>
      <c r="F199" s="5"/>
      <c r="G199" s="5"/>
      <c r="K199" s="5"/>
      <c r="L199" s="5"/>
      <c r="P199" s="5"/>
      <c r="Q199"/>
      <c r="U199"/>
    </row>
    <row r="200" spans="2:21" x14ac:dyDescent="0.2">
      <c r="B200" s="5"/>
      <c r="F200" s="5"/>
      <c r="G200" s="5"/>
      <c r="K200" s="5"/>
      <c r="L200" s="5"/>
      <c r="P200" s="5"/>
      <c r="Q200"/>
      <c r="U200"/>
    </row>
    <row r="201" spans="2:21" x14ac:dyDescent="0.2">
      <c r="B201" s="5"/>
      <c r="F201" s="5"/>
      <c r="G201" s="5"/>
      <c r="K201" s="5"/>
      <c r="L201" s="5"/>
      <c r="P201" s="5"/>
      <c r="Q201"/>
      <c r="U201"/>
    </row>
    <row r="202" spans="2:21" x14ac:dyDescent="0.2">
      <c r="B202" s="5"/>
      <c r="F202" s="5"/>
      <c r="G202" s="5"/>
      <c r="K202" s="5"/>
      <c r="L202" s="5"/>
      <c r="P202" s="5"/>
      <c r="Q202"/>
      <c r="U202"/>
    </row>
    <row r="203" spans="2:21" x14ac:dyDescent="0.2">
      <c r="B203" s="5"/>
      <c r="F203" s="5"/>
      <c r="G203" s="5"/>
      <c r="K203" s="5"/>
      <c r="L203" s="5"/>
      <c r="P203" s="5"/>
      <c r="Q203"/>
      <c r="U203"/>
    </row>
    <row r="204" spans="2:21" x14ac:dyDescent="0.2">
      <c r="B204" s="5"/>
      <c r="F204" s="5"/>
      <c r="G204" s="5"/>
      <c r="K204" s="5"/>
      <c r="L204" s="5"/>
      <c r="P204" s="5"/>
      <c r="Q204"/>
      <c r="U204"/>
    </row>
    <row r="205" spans="2:21" x14ac:dyDescent="0.2">
      <c r="B205" s="5"/>
      <c r="F205" s="5"/>
      <c r="G205" s="5"/>
      <c r="K205" s="5"/>
      <c r="L205" s="5"/>
      <c r="P205" s="5"/>
      <c r="Q205"/>
      <c r="U205"/>
    </row>
    <row r="206" spans="2:21" x14ac:dyDescent="0.2">
      <c r="B206" s="5"/>
      <c r="F206" s="5"/>
      <c r="G206" s="5"/>
      <c r="K206" s="5"/>
      <c r="L206" s="5"/>
      <c r="P206" s="5"/>
      <c r="Q206"/>
      <c r="U206"/>
    </row>
    <row r="207" spans="2:21" x14ac:dyDescent="0.2">
      <c r="B207" s="5"/>
      <c r="F207" s="5"/>
      <c r="G207" s="5"/>
      <c r="K207" s="5"/>
      <c r="L207" s="5"/>
      <c r="P207" s="5"/>
      <c r="Q207"/>
      <c r="U207"/>
    </row>
    <row r="208" spans="2:21" x14ac:dyDescent="0.2">
      <c r="B208" s="5"/>
      <c r="F208" s="5"/>
      <c r="G208" s="5"/>
      <c r="K208" s="5"/>
      <c r="L208" s="5"/>
      <c r="P208" s="5"/>
      <c r="Q208"/>
      <c r="U208"/>
    </row>
    <row r="209" spans="2:21" x14ac:dyDescent="0.2">
      <c r="B209" s="5"/>
      <c r="F209" s="5"/>
      <c r="G209" s="5"/>
      <c r="K209" s="5"/>
      <c r="L209" s="5"/>
      <c r="P209" s="5"/>
      <c r="Q209"/>
      <c r="U209"/>
    </row>
    <row r="210" spans="2:21" x14ac:dyDescent="0.2">
      <c r="B210" s="5"/>
      <c r="F210" s="5"/>
      <c r="G210" s="5"/>
      <c r="K210" s="5"/>
      <c r="L210" s="5"/>
      <c r="P210" s="5"/>
      <c r="Q210"/>
      <c r="U210"/>
    </row>
    <row r="211" spans="2:21" x14ac:dyDescent="0.2">
      <c r="B211" s="5"/>
      <c r="F211" s="5"/>
      <c r="G211" s="5"/>
      <c r="K211" s="5"/>
      <c r="L211" s="5"/>
      <c r="P211" s="5"/>
      <c r="Q211"/>
      <c r="U211"/>
    </row>
    <row r="212" spans="2:21" x14ac:dyDescent="0.2">
      <c r="B212" s="5"/>
      <c r="F212" s="5"/>
      <c r="G212" s="5"/>
      <c r="K212" s="5"/>
      <c r="L212" s="5"/>
      <c r="P212" s="5"/>
      <c r="Q212"/>
      <c r="U212"/>
    </row>
    <row r="213" spans="2:21" x14ac:dyDescent="0.2">
      <c r="B213" s="5"/>
      <c r="F213" s="5"/>
      <c r="G213" s="5"/>
      <c r="K213" s="5"/>
      <c r="L213" s="5"/>
      <c r="P213" s="5"/>
      <c r="Q213"/>
      <c r="U213"/>
    </row>
    <row r="214" spans="2:21" x14ac:dyDescent="0.2">
      <c r="B214" s="5"/>
      <c r="F214" s="5"/>
      <c r="G214" s="5"/>
      <c r="K214" s="5"/>
      <c r="L214" s="5"/>
      <c r="P214" s="5"/>
      <c r="Q214"/>
      <c r="U214"/>
    </row>
    <row r="215" spans="2:21" x14ac:dyDescent="0.2">
      <c r="B215" s="5"/>
      <c r="F215" s="5"/>
      <c r="G215" s="5"/>
      <c r="K215" s="5"/>
      <c r="L215" s="5"/>
      <c r="P215" s="5"/>
      <c r="Q215"/>
      <c r="U215"/>
    </row>
    <row r="216" spans="2:21" x14ac:dyDescent="0.2">
      <c r="B216" s="5"/>
      <c r="F216" s="5"/>
      <c r="G216" s="5"/>
      <c r="K216" s="5"/>
      <c r="L216" s="5"/>
      <c r="P216" s="5"/>
      <c r="Q216"/>
      <c r="U216"/>
    </row>
    <row r="217" spans="2:21" x14ac:dyDescent="0.2">
      <c r="B217" s="5"/>
      <c r="F217" s="5"/>
      <c r="G217" s="5"/>
      <c r="K217" s="5"/>
      <c r="L217" s="5"/>
      <c r="P217" s="5"/>
      <c r="Q217"/>
      <c r="U217"/>
    </row>
    <row r="218" spans="2:21" x14ac:dyDescent="0.2">
      <c r="B218" s="5"/>
      <c r="F218" s="5"/>
      <c r="G218" s="5"/>
      <c r="K218" s="5"/>
      <c r="L218" s="5"/>
      <c r="P218" s="5"/>
      <c r="Q218"/>
      <c r="U218"/>
    </row>
    <row r="219" spans="2:21" x14ac:dyDescent="0.2">
      <c r="B219" s="5"/>
      <c r="F219" s="5"/>
      <c r="G219" s="5"/>
      <c r="K219" s="5"/>
      <c r="L219" s="5"/>
      <c r="P219" s="5"/>
      <c r="Q219"/>
      <c r="U219"/>
    </row>
    <row r="220" spans="2:21" x14ac:dyDescent="0.2">
      <c r="B220" s="5"/>
      <c r="F220" s="5"/>
      <c r="G220" s="5"/>
      <c r="K220" s="5"/>
      <c r="L220" s="5"/>
      <c r="P220" s="5"/>
      <c r="Q220"/>
      <c r="U220"/>
    </row>
    <row r="221" spans="2:21" x14ac:dyDescent="0.2">
      <c r="B221" s="5"/>
      <c r="F221" s="5"/>
      <c r="G221" s="5"/>
      <c r="K221" s="5"/>
      <c r="L221" s="5"/>
      <c r="P221" s="5"/>
      <c r="Q221"/>
      <c r="U221"/>
    </row>
    <row r="222" spans="2:21" x14ac:dyDescent="0.2">
      <c r="B222" s="5"/>
      <c r="F222" s="5"/>
      <c r="G222" s="5"/>
      <c r="K222" s="5"/>
      <c r="L222" s="5"/>
      <c r="P222" s="5"/>
      <c r="Q222"/>
      <c r="U222"/>
    </row>
    <row r="223" spans="2:21" x14ac:dyDescent="0.2">
      <c r="B223" s="5"/>
      <c r="F223" s="5"/>
      <c r="G223" s="5"/>
      <c r="K223" s="5"/>
      <c r="L223" s="5"/>
      <c r="P223" s="5"/>
      <c r="Q223"/>
      <c r="U223"/>
    </row>
    <row r="224" spans="2:21" x14ac:dyDescent="0.2">
      <c r="B224" s="5"/>
      <c r="F224" s="5"/>
      <c r="G224" s="5"/>
      <c r="K224" s="5"/>
      <c r="L224" s="5"/>
      <c r="P224" s="5"/>
      <c r="Q224"/>
      <c r="U224"/>
    </row>
    <row r="225" spans="2:21" x14ac:dyDescent="0.2">
      <c r="B225" s="5"/>
      <c r="F225" s="5"/>
      <c r="G225" s="5"/>
      <c r="K225" s="5"/>
      <c r="L225" s="5"/>
      <c r="P225" s="5"/>
      <c r="Q225"/>
      <c r="U225"/>
    </row>
    <row r="226" spans="2:21" x14ac:dyDescent="0.2">
      <c r="B226" s="5"/>
      <c r="F226" s="5"/>
      <c r="G226" s="5"/>
      <c r="K226" s="5"/>
      <c r="L226" s="5"/>
      <c r="P226" s="5"/>
      <c r="Q226"/>
      <c r="U226"/>
    </row>
    <row r="227" spans="2:21" x14ac:dyDescent="0.2">
      <c r="B227" s="5"/>
      <c r="F227" s="5"/>
      <c r="G227" s="5"/>
      <c r="K227" s="5"/>
      <c r="L227" s="5"/>
      <c r="P227" s="5"/>
      <c r="Q227"/>
      <c r="U227"/>
    </row>
    <row r="228" spans="2:21" x14ac:dyDescent="0.2">
      <c r="B228" s="5"/>
      <c r="F228" s="5"/>
      <c r="G228" s="5"/>
      <c r="K228" s="5"/>
      <c r="L228" s="5"/>
      <c r="P228" s="5"/>
      <c r="Q228"/>
      <c r="U228"/>
    </row>
    <row r="229" spans="2:21" x14ac:dyDescent="0.2">
      <c r="B229" s="5"/>
      <c r="F229" s="5"/>
      <c r="G229" s="5"/>
      <c r="K229" s="5"/>
      <c r="L229" s="5"/>
      <c r="P229" s="5"/>
      <c r="Q229"/>
      <c r="U229"/>
    </row>
    <row r="230" spans="2:21" x14ac:dyDescent="0.2">
      <c r="B230" s="5"/>
      <c r="F230" s="5"/>
      <c r="G230" s="5"/>
      <c r="K230" s="5"/>
      <c r="L230" s="5"/>
      <c r="P230" s="5"/>
      <c r="Q230"/>
      <c r="U230"/>
    </row>
    <row r="231" spans="2:21" x14ac:dyDescent="0.2">
      <c r="B231" s="5"/>
      <c r="F231" s="5"/>
      <c r="G231" s="5"/>
      <c r="K231" s="5"/>
      <c r="L231" s="5"/>
      <c r="P231" s="5"/>
      <c r="Q231"/>
      <c r="U231"/>
    </row>
    <row r="232" spans="2:21" x14ac:dyDescent="0.2">
      <c r="B232" s="5"/>
      <c r="F232" s="5"/>
      <c r="G232" s="5"/>
      <c r="K232" s="5"/>
      <c r="L232" s="5"/>
      <c r="P232" s="5"/>
      <c r="Q232"/>
      <c r="U232"/>
    </row>
    <row r="233" spans="2:21" x14ac:dyDescent="0.2">
      <c r="B233" s="5"/>
      <c r="F233" s="5"/>
      <c r="G233" s="5"/>
      <c r="K233" s="5"/>
      <c r="L233" s="5"/>
      <c r="P233" s="5"/>
      <c r="Q233"/>
      <c r="U233"/>
    </row>
    <row r="234" spans="2:21" x14ac:dyDescent="0.2">
      <c r="B234" s="5"/>
      <c r="F234" s="5"/>
      <c r="G234" s="5"/>
      <c r="K234" s="5"/>
      <c r="L234" s="5"/>
      <c r="P234" s="5"/>
      <c r="Q234"/>
      <c r="U234"/>
    </row>
    <row r="235" spans="2:21" x14ac:dyDescent="0.2">
      <c r="B235" s="5"/>
      <c r="F235" s="5"/>
      <c r="G235" s="5"/>
      <c r="K235" s="5"/>
      <c r="L235" s="5"/>
      <c r="P235" s="5"/>
      <c r="Q235"/>
      <c r="U235"/>
    </row>
    <row r="236" spans="2:21" x14ac:dyDescent="0.2">
      <c r="B236" s="5"/>
      <c r="F236" s="5"/>
      <c r="G236" s="5"/>
      <c r="K236" s="5"/>
      <c r="L236" s="5"/>
      <c r="P236" s="5"/>
      <c r="Q236"/>
      <c r="U236"/>
    </row>
    <row r="237" spans="2:21" x14ac:dyDescent="0.2">
      <c r="B237" s="5"/>
      <c r="F237" s="5"/>
      <c r="G237" s="5"/>
      <c r="K237" s="5"/>
      <c r="L237" s="5"/>
      <c r="P237" s="5"/>
      <c r="Q237"/>
      <c r="U237"/>
    </row>
    <row r="238" spans="2:21" x14ac:dyDescent="0.2">
      <c r="B238" s="5"/>
      <c r="F238" s="5"/>
      <c r="G238" s="5"/>
      <c r="K238" s="5"/>
      <c r="L238" s="5"/>
      <c r="P238" s="5"/>
      <c r="Q238"/>
      <c r="U238"/>
    </row>
    <row r="239" spans="2:21" x14ac:dyDescent="0.2">
      <c r="B239" s="5"/>
      <c r="F239" s="5"/>
      <c r="G239" s="5"/>
      <c r="K239" s="5"/>
      <c r="L239" s="5"/>
      <c r="P239" s="5"/>
      <c r="Q239"/>
      <c r="U239"/>
    </row>
    <row r="240" spans="2:21" x14ac:dyDescent="0.2">
      <c r="B240" s="5"/>
      <c r="F240" s="5"/>
      <c r="G240" s="5"/>
      <c r="K240" s="5"/>
      <c r="L240" s="5"/>
      <c r="P240" s="5"/>
      <c r="Q240"/>
      <c r="U240"/>
    </row>
    <row r="241" spans="2:21" x14ac:dyDescent="0.2">
      <c r="B241" s="5"/>
      <c r="F241" s="5"/>
      <c r="G241" s="5"/>
      <c r="K241" s="5"/>
      <c r="L241" s="5"/>
      <c r="P241" s="5"/>
      <c r="Q241"/>
      <c r="U241"/>
    </row>
    <row r="242" spans="2:21" x14ac:dyDescent="0.2">
      <c r="B242" s="5"/>
      <c r="F242" s="5"/>
      <c r="G242" s="5"/>
      <c r="K242" s="5"/>
      <c r="L242" s="5"/>
      <c r="P242" s="5"/>
      <c r="Q242"/>
      <c r="U242"/>
    </row>
    <row r="243" spans="2:21" x14ac:dyDescent="0.2">
      <c r="B243" s="5"/>
      <c r="F243" s="5"/>
      <c r="G243" s="5"/>
      <c r="K243" s="5"/>
      <c r="L243" s="5"/>
      <c r="P243" s="5"/>
      <c r="Q243"/>
      <c r="U243"/>
    </row>
    <row r="244" spans="2:21" x14ac:dyDescent="0.2">
      <c r="B244" s="5"/>
      <c r="F244" s="5"/>
      <c r="G244" s="5"/>
      <c r="K244" s="5"/>
      <c r="L244" s="5"/>
      <c r="P244" s="5"/>
      <c r="Q244"/>
      <c r="U244"/>
    </row>
    <row r="245" spans="2:21" x14ac:dyDescent="0.2">
      <c r="B245" s="5"/>
      <c r="F245" s="5"/>
      <c r="G245" s="5"/>
      <c r="K245" s="5"/>
      <c r="L245" s="5"/>
      <c r="P245" s="5"/>
      <c r="Q245"/>
      <c r="U245"/>
    </row>
    <row r="246" spans="2:21" x14ac:dyDescent="0.2">
      <c r="B246" s="5"/>
      <c r="F246" s="5"/>
      <c r="G246" s="5"/>
      <c r="K246" s="5"/>
      <c r="L246" s="5"/>
      <c r="P246" s="5"/>
      <c r="Q246"/>
      <c r="U246"/>
    </row>
    <row r="247" spans="2:21" x14ac:dyDescent="0.2">
      <c r="B247" s="5"/>
      <c r="F247" s="5"/>
      <c r="G247" s="5"/>
      <c r="K247" s="5"/>
      <c r="L247" s="5"/>
      <c r="P247" s="5"/>
      <c r="Q247"/>
      <c r="U247"/>
    </row>
    <row r="248" spans="2:21" x14ac:dyDescent="0.2">
      <c r="B248" s="5"/>
      <c r="F248" s="5"/>
      <c r="G248" s="5"/>
      <c r="K248" s="5"/>
      <c r="L248" s="5"/>
      <c r="P248" s="5"/>
      <c r="Q248"/>
      <c r="U248"/>
    </row>
    <row r="249" spans="2:21" x14ac:dyDescent="0.2">
      <c r="B249" s="5"/>
      <c r="F249" s="5"/>
      <c r="G249" s="5"/>
      <c r="K249" s="5"/>
      <c r="L249" s="5"/>
      <c r="P249" s="5"/>
      <c r="Q249"/>
      <c r="U249"/>
    </row>
    <row r="250" spans="2:21" x14ac:dyDescent="0.2">
      <c r="B250" s="5"/>
      <c r="F250" s="5"/>
      <c r="G250" s="5"/>
      <c r="K250" s="5"/>
      <c r="L250" s="5"/>
      <c r="P250" s="5"/>
      <c r="Q250"/>
      <c r="U250"/>
    </row>
    <row r="251" spans="2:21" x14ac:dyDescent="0.2">
      <c r="B251" s="5"/>
      <c r="F251" s="5"/>
      <c r="G251" s="5"/>
      <c r="K251" s="5"/>
      <c r="L251" s="5"/>
      <c r="P251" s="5"/>
      <c r="Q251"/>
      <c r="U251"/>
    </row>
    <row r="252" spans="2:21" x14ac:dyDescent="0.2">
      <c r="B252" s="5"/>
      <c r="F252" s="5"/>
      <c r="G252" s="5"/>
      <c r="K252" s="5"/>
      <c r="L252" s="5"/>
      <c r="P252" s="5"/>
      <c r="Q252"/>
      <c r="U252"/>
    </row>
    <row r="253" spans="2:21" x14ac:dyDescent="0.2">
      <c r="B253" s="5"/>
      <c r="F253" s="5"/>
      <c r="G253" s="5"/>
      <c r="K253" s="5"/>
      <c r="L253" s="5"/>
      <c r="P253" s="5"/>
      <c r="Q253"/>
      <c r="U253"/>
    </row>
    <row r="254" spans="2:21" x14ac:dyDescent="0.2">
      <c r="B254" s="5"/>
      <c r="F254" s="5"/>
      <c r="G254" s="5"/>
      <c r="K254" s="5"/>
      <c r="L254" s="5"/>
      <c r="P254" s="5"/>
      <c r="Q254"/>
      <c r="U254"/>
    </row>
    <row r="255" spans="2:21" x14ac:dyDescent="0.2">
      <c r="B255" s="5"/>
      <c r="F255" s="5"/>
      <c r="G255" s="5"/>
      <c r="K255" s="5"/>
      <c r="L255" s="5"/>
      <c r="P255" s="5"/>
      <c r="Q255"/>
      <c r="U255"/>
    </row>
    <row r="256" spans="2:21" x14ac:dyDescent="0.2">
      <c r="B256" s="5"/>
      <c r="F256" s="5"/>
      <c r="G256" s="5"/>
      <c r="K256" s="5"/>
      <c r="L256" s="5"/>
      <c r="P256" s="5"/>
      <c r="Q256"/>
      <c r="U256"/>
    </row>
    <row r="257" spans="2:21" x14ac:dyDescent="0.2">
      <c r="B257" s="5"/>
      <c r="F257" s="5"/>
      <c r="G257" s="5"/>
      <c r="K257" s="5"/>
      <c r="L257" s="5"/>
      <c r="P257" s="5"/>
      <c r="Q257"/>
      <c r="U257"/>
    </row>
    <row r="258" spans="2:21" x14ac:dyDescent="0.2">
      <c r="B258" s="5"/>
      <c r="F258" s="5"/>
      <c r="G258" s="5"/>
      <c r="K258" s="5"/>
      <c r="L258" s="5"/>
      <c r="P258" s="5"/>
      <c r="Q258"/>
      <c r="U258"/>
    </row>
    <row r="259" spans="2:21" x14ac:dyDescent="0.2">
      <c r="B259" s="5"/>
      <c r="F259" s="5"/>
      <c r="G259" s="5"/>
      <c r="K259" s="5"/>
      <c r="L259" s="5"/>
      <c r="P259" s="5"/>
      <c r="Q259"/>
      <c r="U259"/>
    </row>
    <row r="260" spans="2:21" x14ac:dyDescent="0.2">
      <c r="B260" s="5"/>
      <c r="F260" s="5"/>
      <c r="G260" s="5"/>
      <c r="K260" s="5"/>
      <c r="L260" s="5"/>
      <c r="P260" s="5"/>
      <c r="Q260"/>
      <c r="U260"/>
    </row>
    <row r="261" spans="2:21" x14ac:dyDescent="0.2">
      <c r="B261" s="5"/>
      <c r="F261" s="5"/>
      <c r="G261" s="5"/>
      <c r="K261" s="5"/>
      <c r="L261" s="5"/>
      <c r="P261" s="5"/>
      <c r="Q261"/>
      <c r="U261"/>
    </row>
    <row r="262" spans="2:21" x14ac:dyDescent="0.2">
      <c r="B262" s="5"/>
      <c r="F262" s="5"/>
      <c r="G262" s="5"/>
      <c r="K262" s="5"/>
      <c r="L262" s="5"/>
      <c r="P262" s="5"/>
      <c r="Q262"/>
      <c r="U262"/>
    </row>
    <row r="263" spans="2:21" x14ac:dyDescent="0.2">
      <c r="B263" s="5"/>
      <c r="F263" s="5"/>
      <c r="G263" s="5"/>
      <c r="K263" s="5"/>
      <c r="L263" s="5"/>
      <c r="P263" s="5"/>
      <c r="Q263"/>
      <c r="U263"/>
    </row>
    <row r="264" spans="2:21" x14ac:dyDescent="0.2">
      <c r="B264" s="5"/>
      <c r="F264" s="5"/>
      <c r="G264" s="5"/>
      <c r="K264" s="5"/>
      <c r="L264" s="5"/>
      <c r="P264" s="5"/>
      <c r="Q264"/>
      <c r="U264"/>
    </row>
    <row r="265" spans="2:21" x14ac:dyDescent="0.2">
      <c r="B265" s="5"/>
      <c r="F265" s="5"/>
      <c r="G265" s="5"/>
      <c r="K265" s="5"/>
      <c r="L265" s="5"/>
      <c r="P265" s="5"/>
      <c r="Q265"/>
      <c r="U265"/>
    </row>
    <row r="266" spans="2:21" x14ac:dyDescent="0.2">
      <c r="B266" s="5"/>
      <c r="F266" s="5"/>
      <c r="G266" s="5"/>
      <c r="K266" s="5"/>
      <c r="L266" s="5"/>
      <c r="P266" s="5"/>
      <c r="Q266"/>
      <c r="U266"/>
    </row>
    <row r="267" spans="2:21" x14ac:dyDescent="0.2">
      <c r="B267" s="5"/>
      <c r="F267" s="5"/>
      <c r="G267" s="5"/>
      <c r="K267" s="5"/>
      <c r="L267" s="5"/>
      <c r="P267" s="5"/>
      <c r="Q267"/>
      <c r="U267"/>
    </row>
    <row r="268" spans="2:21" x14ac:dyDescent="0.2">
      <c r="B268" s="5"/>
      <c r="F268" s="5"/>
      <c r="G268" s="5"/>
      <c r="K268" s="5"/>
      <c r="L268" s="5"/>
      <c r="P268" s="5"/>
      <c r="Q268"/>
      <c r="U268"/>
    </row>
    <row r="269" spans="2:21" x14ac:dyDescent="0.2">
      <c r="B269" s="5"/>
      <c r="F269" s="5"/>
      <c r="G269" s="5"/>
      <c r="K269" s="5"/>
      <c r="L269" s="5"/>
      <c r="P269" s="5"/>
      <c r="Q269"/>
      <c r="U269"/>
    </row>
    <row r="270" spans="2:21" x14ac:dyDescent="0.2">
      <c r="B270" s="5"/>
      <c r="F270" s="5"/>
      <c r="G270" s="5"/>
      <c r="K270" s="5"/>
      <c r="L270" s="5"/>
      <c r="P270" s="5"/>
      <c r="Q270"/>
      <c r="U270"/>
    </row>
    <row r="271" spans="2:21" x14ac:dyDescent="0.2">
      <c r="B271" s="5"/>
      <c r="F271" s="5"/>
      <c r="G271" s="5"/>
      <c r="K271" s="5"/>
      <c r="L271" s="5"/>
      <c r="P271" s="5"/>
      <c r="Q271"/>
      <c r="U271"/>
    </row>
    <row r="272" spans="2:21" x14ac:dyDescent="0.2">
      <c r="B272" s="5"/>
      <c r="F272" s="5"/>
      <c r="G272" s="5"/>
      <c r="K272" s="5"/>
      <c r="L272" s="5"/>
      <c r="P272" s="5"/>
      <c r="Q272"/>
      <c r="U272"/>
    </row>
    <row r="273" spans="2:21" x14ac:dyDescent="0.2">
      <c r="B273" s="5"/>
      <c r="F273" s="5"/>
      <c r="G273" s="5"/>
      <c r="K273" s="5"/>
      <c r="L273" s="5"/>
      <c r="P273" s="5"/>
      <c r="Q273"/>
      <c r="U273"/>
    </row>
    <row r="274" spans="2:21" x14ac:dyDescent="0.2">
      <c r="B274" s="5"/>
      <c r="F274" s="5"/>
      <c r="G274" s="5"/>
      <c r="K274" s="5"/>
      <c r="L274" s="5"/>
      <c r="P274" s="5"/>
      <c r="Q274"/>
      <c r="U274"/>
    </row>
    <row r="275" spans="2:21" x14ac:dyDescent="0.2">
      <c r="B275" s="5"/>
      <c r="F275" s="5"/>
      <c r="G275" s="5"/>
      <c r="K275" s="5"/>
      <c r="L275" s="5"/>
      <c r="P275" s="5"/>
      <c r="Q275"/>
      <c r="U275"/>
    </row>
    <row r="276" spans="2:21" x14ac:dyDescent="0.2">
      <c r="B276" s="5"/>
      <c r="F276" s="5"/>
      <c r="G276" s="5"/>
      <c r="K276" s="5"/>
      <c r="L276" s="5"/>
      <c r="P276" s="5"/>
      <c r="Q276"/>
      <c r="U276"/>
    </row>
    <row r="277" spans="2:21" x14ac:dyDescent="0.2">
      <c r="B277" s="5"/>
      <c r="F277" s="5"/>
      <c r="G277" s="5"/>
      <c r="K277" s="5"/>
      <c r="L277" s="5"/>
      <c r="P277" s="5"/>
      <c r="Q277"/>
      <c r="U277"/>
    </row>
    <row r="278" spans="2:21" x14ac:dyDescent="0.2">
      <c r="B278" s="5"/>
      <c r="F278" s="5"/>
      <c r="G278" s="5"/>
      <c r="K278" s="5"/>
      <c r="L278" s="5"/>
      <c r="P278" s="5"/>
      <c r="Q278"/>
      <c r="U278"/>
    </row>
    <row r="279" spans="2:21" x14ac:dyDescent="0.2">
      <c r="B279" s="5"/>
      <c r="F279" s="5"/>
      <c r="G279" s="5"/>
      <c r="K279" s="5"/>
      <c r="L279" s="5"/>
      <c r="P279" s="5"/>
      <c r="Q279"/>
      <c r="U279"/>
    </row>
    <row r="280" spans="2:21" x14ac:dyDescent="0.2">
      <c r="B280" s="5"/>
      <c r="F280" s="5"/>
      <c r="G280" s="5"/>
      <c r="K280" s="5"/>
      <c r="L280" s="5"/>
      <c r="P280" s="5"/>
      <c r="Q280"/>
      <c r="U280"/>
    </row>
    <row r="281" spans="2:21" x14ac:dyDescent="0.2">
      <c r="B281" s="5"/>
      <c r="F281" s="5"/>
      <c r="G281" s="5"/>
      <c r="K281" s="5"/>
      <c r="L281" s="5"/>
      <c r="P281" s="5"/>
      <c r="Q281"/>
      <c r="U281"/>
    </row>
    <row r="282" spans="2:21" x14ac:dyDescent="0.2">
      <c r="B282" s="5"/>
      <c r="F282" s="5"/>
      <c r="G282" s="5"/>
      <c r="K282" s="5"/>
      <c r="L282" s="5"/>
      <c r="P282" s="5"/>
      <c r="Q282"/>
      <c r="U282"/>
    </row>
    <row r="283" spans="2:21" x14ac:dyDescent="0.2">
      <c r="B283" s="5"/>
      <c r="F283" s="5"/>
      <c r="G283" s="5"/>
      <c r="K283" s="5"/>
      <c r="L283" s="5"/>
      <c r="P283" s="5"/>
      <c r="Q283"/>
      <c r="U283"/>
    </row>
    <row r="284" spans="2:21" x14ac:dyDescent="0.2">
      <c r="B284" s="5"/>
      <c r="F284" s="5"/>
      <c r="G284" s="5"/>
      <c r="K284" s="5"/>
      <c r="L284" s="5"/>
      <c r="P284" s="5"/>
      <c r="Q284"/>
      <c r="U284"/>
    </row>
    <row r="285" spans="2:21" x14ac:dyDescent="0.2">
      <c r="B285" s="5"/>
      <c r="F285" s="5"/>
      <c r="G285" s="5"/>
      <c r="K285" s="5"/>
      <c r="L285" s="5"/>
      <c r="P285" s="5"/>
      <c r="Q285"/>
      <c r="U285"/>
    </row>
    <row r="286" spans="2:21" x14ac:dyDescent="0.2">
      <c r="B286" s="5"/>
      <c r="F286" s="5"/>
      <c r="G286" s="5"/>
      <c r="K286" s="5"/>
      <c r="L286" s="5"/>
      <c r="P286" s="5"/>
      <c r="Q286"/>
      <c r="U286"/>
    </row>
    <row r="287" spans="2:21" x14ac:dyDescent="0.2">
      <c r="B287" s="5"/>
      <c r="F287" s="5"/>
      <c r="G287" s="5"/>
      <c r="K287" s="5"/>
      <c r="L287" s="5"/>
      <c r="P287" s="5"/>
      <c r="Q287"/>
      <c r="U287"/>
    </row>
    <row r="288" spans="2:21" x14ac:dyDescent="0.2">
      <c r="B288" s="5"/>
      <c r="F288" s="5"/>
      <c r="G288" s="5"/>
      <c r="K288" s="5"/>
      <c r="L288" s="5"/>
      <c r="P288" s="5"/>
      <c r="Q288"/>
      <c r="U288"/>
    </row>
    <row r="289" spans="2:21" x14ac:dyDescent="0.2">
      <c r="B289" s="5"/>
      <c r="F289" s="5"/>
      <c r="G289" s="5"/>
      <c r="K289" s="5"/>
      <c r="L289" s="5"/>
      <c r="P289" s="5"/>
      <c r="Q289"/>
      <c r="U289"/>
    </row>
    <row r="290" spans="2:21" x14ac:dyDescent="0.2">
      <c r="B290" s="5"/>
      <c r="F290" s="5"/>
      <c r="G290" s="5"/>
      <c r="K290" s="5"/>
      <c r="L290" s="5"/>
      <c r="P290" s="5"/>
      <c r="Q290"/>
      <c r="U290"/>
    </row>
    <row r="291" spans="2:21" x14ac:dyDescent="0.2">
      <c r="B291" s="5"/>
      <c r="F291" s="5"/>
      <c r="G291" s="5"/>
      <c r="K291" s="5"/>
      <c r="L291" s="5"/>
      <c r="P291" s="5"/>
      <c r="Q291"/>
      <c r="U291"/>
    </row>
    <row r="292" spans="2:21" x14ac:dyDescent="0.2">
      <c r="B292" s="5"/>
      <c r="F292" s="5"/>
      <c r="G292" s="5"/>
      <c r="K292" s="5"/>
      <c r="L292" s="5"/>
      <c r="P292" s="5"/>
      <c r="Q292"/>
      <c r="U292"/>
    </row>
    <row r="293" spans="2:21" x14ac:dyDescent="0.2">
      <c r="B293" s="5"/>
      <c r="F293" s="5"/>
      <c r="G293" s="5"/>
      <c r="K293" s="5"/>
      <c r="L293" s="5"/>
      <c r="P293" s="5"/>
      <c r="Q293"/>
      <c r="U293"/>
    </row>
    <row r="294" spans="2:21" x14ac:dyDescent="0.2">
      <c r="B294" s="5"/>
      <c r="F294" s="5"/>
      <c r="G294" s="5"/>
      <c r="K294" s="5"/>
      <c r="L294" s="5"/>
      <c r="P294" s="5"/>
      <c r="Q294"/>
      <c r="U294"/>
    </row>
    <row r="295" spans="2:21" x14ac:dyDescent="0.2">
      <c r="B295" s="5"/>
      <c r="F295" s="5"/>
      <c r="G295" s="5"/>
      <c r="K295" s="5"/>
      <c r="L295" s="5"/>
      <c r="P295" s="5"/>
      <c r="Q295"/>
      <c r="U295"/>
    </row>
    <row r="296" spans="2:21" x14ac:dyDescent="0.2">
      <c r="B296" s="5"/>
      <c r="F296" s="5"/>
      <c r="G296" s="5"/>
      <c r="K296" s="5"/>
      <c r="L296" s="5"/>
      <c r="P296" s="5"/>
      <c r="Q296"/>
      <c r="U296"/>
    </row>
    <row r="297" spans="2:21" x14ac:dyDescent="0.2">
      <c r="B297" s="5"/>
      <c r="F297" s="5"/>
      <c r="G297" s="5"/>
      <c r="K297" s="5"/>
      <c r="L297" s="5"/>
      <c r="P297" s="5"/>
      <c r="Q297"/>
      <c r="U297"/>
    </row>
    <row r="298" spans="2:21" x14ac:dyDescent="0.2">
      <c r="B298" s="5"/>
      <c r="F298" s="5"/>
      <c r="G298" s="5"/>
      <c r="K298" s="5"/>
      <c r="L298" s="5"/>
      <c r="P298" s="5"/>
      <c r="Q298"/>
      <c r="U298"/>
    </row>
    <row r="299" spans="2:21" x14ac:dyDescent="0.2">
      <c r="B299" s="5"/>
      <c r="F299" s="5"/>
      <c r="G299" s="5"/>
      <c r="K299" s="5"/>
      <c r="L299" s="5"/>
      <c r="P299" s="5"/>
      <c r="Q299"/>
      <c r="U299"/>
    </row>
    <row r="300" spans="2:21" x14ac:dyDescent="0.2">
      <c r="B300" s="5"/>
      <c r="F300" s="5"/>
      <c r="G300" s="5"/>
      <c r="K300" s="5"/>
      <c r="L300" s="5"/>
      <c r="P300" s="5"/>
      <c r="Q300"/>
      <c r="U300"/>
    </row>
    <row r="301" spans="2:21" x14ac:dyDescent="0.2">
      <c r="B301" s="5"/>
      <c r="F301" s="5"/>
      <c r="G301" s="5"/>
      <c r="K301" s="5"/>
      <c r="L301" s="5"/>
      <c r="P301" s="5"/>
      <c r="Q301"/>
      <c r="U301"/>
    </row>
    <row r="302" spans="2:21" x14ac:dyDescent="0.2">
      <c r="B302" s="5"/>
      <c r="F302" s="5"/>
      <c r="G302" s="5"/>
      <c r="K302" s="5"/>
      <c r="L302" s="5"/>
      <c r="P302" s="5"/>
      <c r="Q302"/>
      <c r="U302"/>
    </row>
    <row r="303" spans="2:21" x14ac:dyDescent="0.2">
      <c r="B303" s="5"/>
      <c r="F303" s="5"/>
      <c r="G303" s="5"/>
      <c r="K303" s="5"/>
      <c r="L303" s="5"/>
      <c r="P303" s="5"/>
      <c r="Q303"/>
      <c r="U303"/>
    </row>
    <row r="304" spans="2:21" x14ac:dyDescent="0.2">
      <c r="B304" s="5"/>
      <c r="F304" s="5"/>
      <c r="G304" s="5"/>
      <c r="K304" s="5"/>
      <c r="L304" s="5"/>
      <c r="P304" s="5"/>
      <c r="Q304"/>
      <c r="U304"/>
    </row>
    <row r="305" spans="2:21" x14ac:dyDescent="0.2">
      <c r="B305" s="5"/>
      <c r="F305" s="5"/>
      <c r="G305" s="5"/>
      <c r="K305" s="5"/>
      <c r="L305" s="5"/>
      <c r="P305" s="5"/>
      <c r="Q305"/>
      <c r="U305"/>
    </row>
    <row r="306" spans="2:21" x14ac:dyDescent="0.2">
      <c r="B306" s="5"/>
      <c r="F306" s="5"/>
      <c r="G306" s="5"/>
      <c r="K306" s="5"/>
      <c r="L306" s="5"/>
      <c r="P306" s="5"/>
      <c r="Q306"/>
      <c r="U306"/>
    </row>
    <row r="307" spans="2:21" x14ac:dyDescent="0.2">
      <c r="B307" s="5"/>
      <c r="F307" s="5"/>
      <c r="G307" s="5"/>
      <c r="K307" s="5"/>
      <c r="L307" s="5"/>
      <c r="P307" s="5"/>
      <c r="Q307"/>
      <c r="U307"/>
    </row>
    <row r="308" spans="2:21" x14ac:dyDescent="0.2">
      <c r="B308" s="5"/>
      <c r="F308" s="5"/>
      <c r="G308" s="5"/>
      <c r="K308" s="5"/>
      <c r="L308" s="5"/>
      <c r="P308" s="5"/>
      <c r="Q308"/>
      <c r="U308"/>
    </row>
    <row r="309" spans="2:21" x14ac:dyDescent="0.2">
      <c r="B309" s="5"/>
      <c r="F309" s="5"/>
      <c r="G309" s="5"/>
      <c r="K309" s="5"/>
      <c r="L309" s="5"/>
      <c r="P309" s="5"/>
      <c r="Q309"/>
      <c r="U309"/>
    </row>
    <row r="310" spans="2:21" x14ac:dyDescent="0.2">
      <c r="B310" s="5"/>
      <c r="F310" s="5"/>
      <c r="G310" s="5"/>
      <c r="K310" s="5"/>
      <c r="L310" s="5"/>
      <c r="P310" s="5"/>
      <c r="Q310"/>
      <c r="U310"/>
    </row>
    <row r="311" spans="2:21" x14ac:dyDescent="0.2">
      <c r="B311" s="5"/>
      <c r="F311" s="5"/>
      <c r="G311" s="5"/>
      <c r="K311" s="5"/>
      <c r="L311" s="5"/>
      <c r="P311" s="5"/>
      <c r="Q311"/>
      <c r="U311"/>
    </row>
    <row r="312" spans="2:21" x14ac:dyDescent="0.2">
      <c r="B312" s="5"/>
      <c r="F312" s="5"/>
      <c r="G312" s="5"/>
      <c r="K312" s="5"/>
      <c r="L312" s="5"/>
      <c r="P312" s="5"/>
      <c r="Q312"/>
      <c r="U312"/>
    </row>
    <row r="313" spans="2:21" x14ac:dyDescent="0.2">
      <c r="B313" s="5"/>
      <c r="F313" s="5"/>
      <c r="G313" s="5"/>
      <c r="K313" s="5"/>
      <c r="L313" s="5"/>
      <c r="P313" s="5"/>
      <c r="Q313"/>
      <c r="U313"/>
    </row>
    <row r="314" spans="2:21" x14ac:dyDescent="0.2">
      <c r="B314" s="5"/>
      <c r="F314" s="5"/>
      <c r="G314" s="5"/>
      <c r="K314" s="5"/>
      <c r="L314" s="5"/>
      <c r="P314" s="5"/>
      <c r="Q314"/>
      <c r="U314"/>
    </row>
    <row r="315" spans="2:21" x14ac:dyDescent="0.2">
      <c r="B315" s="5"/>
      <c r="F315" s="5"/>
      <c r="G315" s="5"/>
      <c r="K315" s="5"/>
      <c r="L315" s="5"/>
      <c r="P315" s="5"/>
      <c r="Q315"/>
      <c r="U315"/>
    </row>
    <row r="316" spans="2:21" x14ac:dyDescent="0.2">
      <c r="B316" s="5"/>
      <c r="F316" s="5"/>
      <c r="G316" s="5"/>
      <c r="K316" s="5"/>
      <c r="L316" s="5"/>
      <c r="P316" s="5"/>
      <c r="Q316"/>
      <c r="U316"/>
    </row>
    <row r="317" spans="2:21" x14ac:dyDescent="0.2">
      <c r="B317" s="5"/>
      <c r="F317" s="5"/>
      <c r="G317" s="5"/>
      <c r="K317" s="5"/>
      <c r="L317" s="5"/>
      <c r="P317" s="5"/>
      <c r="Q317"/>
      <c r="U317"/>
    </row>
    <row r="318" spans="2:21" x14ac:dyDescent="0.2">
      <c r="B318" s="5"/>
      <c r="F318" s="5"/>
      <c r="G318" s="5"/>
      <c r="K318" s="5"/>
      <c r="L318" s="5"/>
      <c r="P318" s="5"/>
      <c r="Q318"/>
      <c r="U318"/>
    </row>
    <row r="319" spans="2:21" x14ac:dyDescent="0.2">
      <c r="B319" s="5"/>
      <c r="F319" s="5"/>
      <c r="G319" s="5"/>
      <c r="K319" s="5"/>
      <c r="L319" s="5"/>
      <c r="P319" s="5"/>
      <c r="Q319"/>
      <c r="U319"/>
    </row>
    <row r="320" spans="2:21" x14ac:dyDescent="0.2">
      <c r="B320" s="5"/>
      <c r="F320" s="5"/>
      <c r="G320" s="5"/>
      <c r="K320" s="5"/>
      <c r="L320" s="5"/>
      <c r="P320" s="5"/>
      <c r="Q320"/>
      <c r="U320"/>
    </row>
    <row r="321" spans="2:21" x14ac:dyDescent="0.2">
      <c r="B321" s="5"/>
      <c r="F321" s="5"/>
      <c r="G321" s="5"/>
      <c r="K321" s="5"/>
      <c r="L321" s="5"/>
      <c r="P321" s="5"/>
      <c r="Q321"/>
      <c r="U321"/>
    </row>
    <row r="322" spans="2:21" x14ac:dyDescent="0.2">
      <c r="B322" s="5"/>
      <c r="F322" s="5"/>
      <c r="G322" s="5"/>
      <c r="K322" s="5"/>
      <c r="L322" s="5"/>
      <c r="P322" s="5"/>
      <c r="Q322"/>
      <c r="U322"/>
    </row>
    <row r="323" spans="2:21" x14ac:dyDescent="0.2">
      <c r="B323" s="5"/>
      <c r="F323" s="5"/>
      <c r="G323" s="5"/>
      <c r="K323" s="5"/>
      <c r="L323" s="5"/>
      <c r="P323" s="5"/>
      <c r="Q323"/>
      <c r="U323"/>
    </row>
    <row r="324" spans="2:21" x14ac:dyDescent="0.2">
      <c r="B324" s="5"/>
      <c r="F324" s="5"/>
      <c r="G324" s="5"/>
      <c r="K324" s="5"/>
      <c r="L324" s="5"/>
      <c r="P324" s="5"/>
      <c r="Q324"/>
      <c r="U324"/>
    </row>
    <row r="325" spans="2:21" x14ac:dyDescent="0.2">
      <c r="B325" s="5"/>
      <c r="F325" s="5"/>
      <c r="G325" s="5"/>
      <c r="K325" s="5"/>
      <c r="L325" s="5"/>
      <c r="P325" s="5"/>
      <c r="Q325"/>
      <c r="U325"/>
    </row>
    <row r="326" spans="2:21" x14ac:dyDescent="0.2">
      <c r="B326" s="5"/>
      <c r="F326" s="5"/>
      <c r="G326" s="5"/>
      <c r="K326" s="5"/>
      <c r="L326" s="5"/>
      <c r="P326" s="5"/>
      <c r="Q326"/>
      <c r="U326"/>
    </row>
    <row r="327" spans="2:21" x14ac:dyDescent="0.2">
      <c r="B327" s="5"/>
      <c r="F327" s="5"/>
      <c r="G327" s="5"/>
      <c r="K327" s="5"/>
      <c r="L327" s="5"/>
      <c r="P327" s="5"/>
      <c r="Q327"/>
      <c r="U327"/>
    </row>
    <row r="328" spans="2:21" x14ac:dyDescent="0.2">
      <c r="B328" s="5"/>
      <c r="F328" s="5"/>
      <c r="G328" s="5"/>
      <c r="K328" s="5"/>
      <c r="L328" s="5"/>
      <c r="P328" s="5"/>
      <c r="Q328"/>
      <c r="U328"/>
    </row>
    <row r="329" spans="2:21" x14ac:dyDescent="0.2">
      <c r="B329" s="5"/>
      <c r="F329" s="5"/>
      <c r="G329" s="5"/>
      <c r="K329" s="5"/>
      <c r="L329" s="5"/>
      <c r="P329" s="5"/>
      <c r="Q329"/>
      <c r="U329"/>
    </row>
    <row r="330" spans="2:21" x14ac:dyDescent="0.2">
      <c r="B330" s="5"/>
      <c r="F330" s="5"/>
      <c r="G330" s="5"/>
      <c r="K330" s="5"/>
      <c r="L330" s="5"/>
      <c r="P330" s="5"/>
      <c r="Q330"/>
      <c r="U330"/>
    </row>
    <row r="331" spans="2:21" x14ac:dyDescent="0.2">
      <c r="B331" s="5"/>
      <c r="F331" s="5"/>
      <c r="G331" s="5"/>
      <c r="K331" s="5"/>
      <c r="L331" s="5"/>
      <c r="P331" s="5"/>
      <c r="Q331"/>
      <c r="U331"/>
    </row>
    <row r="332" spans="2:21" x14ac:dyDescent="0.2">
      <c r="B332" s="5"/>
      <c r="F332" s="5"/>
      <c r="G332" s="5"/>
      <c r="K332" s="5"/>
      <c r="L332" s="5"/>
      <c r="P332" s="5"/>
      <c r="Q332"/>
      <c r="U332"/>
    </row>
    <row r="333" spans="2:21" x14ac:dyDescent="0.2">
      <c r="B333" s="5"/>
      <c r="F333" s="5"/>
      <c r="G333" s="5"/>
      <c r="K333" s="5"/>
      <c r="L333" s="5"/>
      <c r="P333" s="5"/>
      <c r="Q333"/>
      <c r="U333"/>
    </row>
    <row r="334" spans="2:21" x14ac:dyDescent="0.2">
      <c r="B334" s="5"/>
      <c r="F334" s="5"/>
      <c r="G334" s="5"/>
      <c r="K334" s="5"/>
      <c r="L334" s="5"/>
      <c r="P334" s="5"/>
      <c r="Q334"/>
      <c r="U334"/>
    </row>
    <row r="335" spans="2:21" x14ac:dyDescent="0.2">
      <c r="B335" s="5"/>
      <c r="F335" s="5"/>
      <c r="G335" s="5"/>
      <c r="K335" s="5"/>
      <c r="L335" s="5"/>
      <c r="P335" s="5"/>
      <c r="Q335"/>
      <c r="U335"/>
    </row>
    <row r="336" spans="2:21" x14ac:dyDescent="0.2">
      <c r="B336" s="5"/>
      <c r="F336" s="5"/>
      <c r="G336" s="5"/>
      <c r="K336" s="5"/>
      <c r="L336" s="5"/>
      <c r="P336" s="5"/>
      <c r="Q336"/>
      <c r="U336"/>
    </row>
    <row r="337" spans="2:21" x14ac:dyDescent="0.2">
      <c r="B337" s="5"/>
      <c r="F337" s="5"/>
      <c r="G337" s="5"/>
      <c r="K337" s="5"/>
      <c r="L337" s="5"/>
      <c r="P337" s="5"/>
      <c r="Q337"/>
      <c r="U337"/>
    </row>
    <row r="338" spans="2:21" x14ac:dyDescent="0.2">
      <c r="B338" s="5"/>
      <c r="F338" s="5"/>
      <c r="G338" s="5"/>
      <c r="K338" s="5"/>
      <c r="L338" s="5"/>
      <c r="P338" s="5"/>
      <c r="Q338"/>
      <c r="U338"/>
    </row>
    <row r="339" spans="2:21" x14ac:dyDescent="0.2">
      <c r="B339" s="5"/>
      <c r="F339" s="5"/>
      <c r="G339" s="5"/>
      <c r="K339" s="5"/>
      <c r="L339" s="5"/>
      <c r="P339" s="5"/>
      <c r="Q339"/>
      <c r="U339"/>
    </row>
    <row r="340" spans="2:21" x14ac:dyDescent="0.2">
      <c r="B340" s="5"/>
      <c r="F340" s="5"/>
      <c r="G340" s="5"/>
      <c r="K340" s="5"/>
      <c r="L340" s="5"/>
      <c r="P340" s="5"/>
      <c r="Q340"/>
      <c r="U340"/>
    </row>
    <row r="341" spans="2:21" x14ac:dyDescent="0.2">
      <c r="B341" s="5"/>
      <c r="F341" s="5"/>
      <c r="G341" s="5"/>
      <c r="K341" s="5"/>
      <c r="L341" s="5"/>
      <c r="P341" s="5"/>
      <c r="Q341"/>
      <c r="U341"/>
    </row>
    <row r="342" spans="2:21" x14ac:dyDescent="0.2">
      <c r="B342" s="5"/>
      <c r="F342" s="5"/>
      <c r="G342" s="5"/>
      <c r="K342" s="5"/>
      <c r="L342" s="5"/>
      <c r="P342" s="5"/>
      <c r="Q342"/>
      <c r="U342"/>
    </row>
    <row r="343" spans="2:21" x14ac:dyDescent="0.2">
      <c r="B343" s="5"/>
      <c r="F343" s="5"/>
      <c r="G343" s="5"/>
      <c r="K343" s="5"/>
      <c r="L343" s="5"/>
      <c r="P343" s="5"/>
      <c r="Q343"/>
      <c r="U343"/>
    </row>
    <row r="344" spans="2:21" x14ac:dyDescent="0.2">
      <c r="B344" s="5"/>
      <c r="F344" s="5"/>
      <c r="G344" s="5"/>
      <c r="K344" s="5"/>
      <c r="L344" s="5"/>
      <c r="P344" s="5"/>
      <c r="Q344"/>
      <c r="U344"/>
    </row>
    <row r="345" spans="2:21" x14ac:dyDescent="0.2">
      <c r="B345" s="5"/>
      <c r="F345" s="5"/>
      <c r="G345" s="5"/>
      <c r="K345" s="5"/>
      <c r="L345" s="5"/>
      <c r="P345" s="5"/>
      <c r="Q345"/>
      <c r="U345"/>
    </row>
    <row r="346" spans="2:21" x14ac:dyDescent="0.2">
      <c r="B346" s="5"/>
      <c r="F346" s="5"/>
      <c r="G346" s="5"/>
      <c r="K346" s="5"/>
      <c r="L346" s="5"/>
      <c r="P346" s="5"/>
      <c r="Q346"/>
      <c r="U346"/>
    </row>
    <row r="347" spans="2:21" x14ac:dyDescent="0.2">
      <c r="B347" s="5"/>
      <c r="F347" s="5"/>
      <c r="G347" s="5"/>
      <c r="K347" s="5"/>
      <c r="L347" s="5"/>
      <c r="P347" s="5"/>
      <c r="Q347"/>
      <c r="U347"/>
    </row>
    <row r="348" spans="2:21" x14ac:dyDescent="0.2">
      <c r="B348" s="5"/>
      <c r="F348" s="5"/>
      <c r="G348" s="5"/>
      <c r="K348" s="5"/>
      <c r="L348" s="5"/>
      <c r="P348" s="5"/>
      <c r="Q348"/>
      <c r="U348"/>
    </row>
    <row r="349" spans="2:21" x14ac:dyDescent="0.2">
      <c r="B349" s="5"/>
      <c r="F349" s="5"/>
      <c r="G349" s="5"/>
      <c r="K349" s="5"/>
      <c r="L349" s="5"/>
      <c r="P349" s="5"/>
      <c r="Q349"/>
      <c r="U349"/>
    </row>
    <row r="350" spans="2:21" x14ac:dyDescent="0.2">
      <c r="B350" s="5"/>
      <c r="F350" s="5"/>
      <c r="G350" s="5"/>
      <c r="K350" s="5"/>
      <c r="L350" s="5"/>
      <c r="P350" s="5"/>
      <c r="Q350"/>
      <c r="U350"/>
    </row>
    <row r="351" spans="2:21" x14ac:dyDescent="0.2">
      <c r="B351" s="5"/>
      <c r="F351" s="5"/>
      <c r="G351" s="5"/>
      <c r="K351" s="5"/>
      <c r="L351" s="5"/>
      <c r="P351" s="5"/>
      <c r="Q351"/>
      <c r="U351"/>
    </row>
    <row r="352" spans="2:21" x14ac:dyDescent="0.2">
      <c r="B352" s="5"/>
      <c r="F352" s="5"/>
      <c r="G352" s="5"/>
      <c r="K352" s="5"/>
      <c r="L352" s="5"/>
      <c r="P352" s="5"/>
      <c r="Q352"/>
      <c r="U352"/>
    </row>
    <row r="353" spans="2:21" x14ac:dyDescent="0.2">
      <c r="B353" s="5"/>
      <c r="F353" s="5"/>
      <c r="G353" s="5"/>
      <c r="K353" s="5"/>
      <c r="L353" s="5"/>
      <c r="P353" s="5"/>
      <c r="Q353"/>
      <c r="U353"/>
    </row>
    <row r="354" spans="2:21" x14ac:dyDescent="0.2">
      <c r="B354" s="5"/>
      <c r="F354" s="5"/>
      <c r="G354" s="5"/>
      <c r="K354" s="5"/>
      <c r="L354" s="5"/>
      <c r="P354" s="5"/>
      <c r="Q354"/>
      <c r="U354"/>
    </row>
    <row r="355" spans="2:21" x14ac:dyDescent="0.2">
      <c r="B355" s="5"/>
      <c r="F355" s="5"/>
      <c r="G355" s="5"/>
      <c r="K355" s="5"/>
      <c r="L355" s="5"/>
      <c r="P355" s="5"/>
      <c r="Q355"/>
      <c r="U355"/>
    </row>
    <row r="356" spans="2:21" x14ac:dyDescent="0.2">
      <c r="B356" s="5"/>
      <c r="F356" s="5"/>
      <c r="G356" s="5"/>
      <c r="K356" s="5"/>
      <c r="L356" s="5"/>
      <c r="P356" s="5"/>
      <c r="Q356"/>
      <c r="U356"/>
    </row>
    <row r="357" spans="2:21" x14ac:dyDescent="0.2">
      <c r="B357" s="5"/>
      <c r="F357" s="5"/>
      <c r="G357" s="5"/>
      <c r="K357" s="5"/>
      <c r="L357" s="5"/>
      <c r="P357" s="5"/>
      <c r="Q357"/>
      <c r="U357"/>
    </row>
    <row r="358" spans="2:21" x14ac:dyDescent="0.2">
      <c r="B358" s="5"/>
      <c r="F358" s="5"/>
      <c r="G358" s="5"/>
      <c r="K358" s="5"/>
      <c r="L358" s="5"/>
      <c r="P358" s="5"/>
      <c r="Q358"/>
      <c r="U358"/>
    </row>
    <row r="359" spans="2:21" x14ac:dyDescent="0.2">
      <c r="B359" s="5"/>
      <c r="F359" s="5"/>
      <c r="G359" s="5"/>
      <c r="K359" s="5"/>
      <c r="L359" s="5"/>
      <c r="P359" s="5"/>
      <c r="Q359"/>
      <c r="U359"/>
    </row>
    <row r="360" spans="2:21" x14ac:dyDescent="0.2">
      <c r="B360" s="5"/>
      <c r="F360" s="5"/>
      <c r="G360" s="5"/>
      <c r="K360" s="5"/>
      <c r="L360" s="5"/>
      <c r="P360" s="5"/>
      <c r="Q360"/>
      <c r="U360"/>
    </row>
    <row r="361" spans="2:21" x14ac:dyDescent="0.2">
      <c r="B361" s="5"/>
      <c r="F361" s="5"/>
      <c r="G361" s="5"/>
      <c r="K361" s="5"/>
      <c r="L361" s="5"/>
      <c r="P361" s="5"/>
      <c r="Q361"/>
      <c r="U361"/>
    </row>
    <row r="362" spans="2:21" x14ac:dyDescent="0.2">
      <c r="B362" s="5"/>
      <c r="F362" s="5"/>
      <c r="G362" s="5"/>
      <c r="K362" s="5"/>
      <c r="L362" s="5"/>
      <c r="P362" s="5"/>
      <c r="Q362"/>
      <c r="U362"/>
    </row>
    <row r="363" spans="2:21" x14ac:dyDescent="0.2">
      <c r="B363" s="5"/>
      <c r="F363" s="5"/>
      <c r="G363" s="5"/>
      <c r="K363" s="5"/>
      <c r="L363" s="5"/>
      <c r="P363" s="5"/>
      <c r="Q363"/>
      <c r="U363"/>
    </row>
    <row r="364" spans="2:21" x14ac:dyDescent="0.2">
      <c r="B364" s="5"/>
      <c r="F364" s="5"/>
      <c r="G364" s="5"/>
      <c r="K364" s="5"/>
      <c r="L364" s="5"/>
      <c r="P364" s="5"/>
      <c r="Q364"/>
      <c r="U364"/>
    </row>
    <row r="365" spans="2:21" x14ac:dyDescent="0.2">
      <c r="B365" s="5"/>
      <c r="F365" s="5"/>
      <c r="G365" s="5"/>
      <c r="K365" s="5"/>
      <c r="L365" s="5"/>
      <c r="P365" s="5"/>
      <c r="Q365"/>
      <c r="U365"/>
    </row>
    <row r="366" spans="2:21" x14ac:dyDescent="0.2">
      <c r="B366" s="5"/>
      <c r="F366" s="5"/>
      <c r="G366" s="5"/>
      <c r="K366" s="5"/>
      <c r="L366" s="5"/>
      <c r="P366" s="5"/>
      <c r="Q366"/>
      <c r="U366"/>
    </row>
    <row r="367" spans="2:21" x14ac:dyDescent="0.2">
      <c r="B367" s="5"/>
      <c r="F367" s="5"/>
      <c r="G367" s="5"/>
      <c r="K367" s="5"/>
      <c r="L367" s="5"/>
      <c r="P367" s="5"/>
      <c r="Q367"/>
      <c r="U367"/>
    </row>
    <row r="368" spans="2:21" x14ac:dyDescent="0.2">
      <c r="B368" s="5"/>
      <c r="F368" s="5"/>
      <c r="G368" s="5"/>
      <c r="K368" s="5"/>
      <c r="L368" s="5"/>
      <c r="P368" s="5"/>
      <c r="Q368"/>
      <c r="U368"/>
    </row>
    <row r="369" spans="2:21" x14ac:dyDescent="0.2">
      <c r="B369" s="5"/>
      <c r="F369" s="5"/>
      <c r="G369" s="5"/>
      <c r="K369" s="5"/>
      <c r="L369" s="5"/>
      <c r="P369" s="5"/>
      <c r="Q369"/>
      <c r="U369"/>
    </row>
    <row r="370" spans="2:21" x14ac:dyDescent="0.2">
      <c r="B370" s="5"/>
      <c r="F370" s="5"/>
      <c r="G370" s="5"/>
      <c r="K370" s="5"/>
      <c r="L370" s="5"/>
      <c r="P370" s="5"/>
      <c r="Q370"/>
      <c r="U370"/>
    </row>
    <row r="371" spans="2:21" x14ac:dyDescent="0.2">
      <c r="B371" s="5"/>
      <c r="F371" s="5"/>
      <c r="G371" s="5"/>
      <c r="K371" s="5"/>
      <c r="L371" s="5"/>
      <c r="P371" s="5"/>
      <c r="Q371"/>
      <c r="U371"/>
    </row>
    <row r="372" spans="2:21" x14ac:dyDescent="0.2">
      <c r="B372" s="5"/>
      <c r="F372" s="5"/>
      <c r="G372" s="5"/>
      <c r="K372" s="5"/>
      <c r="L372" s="5"/>
      <c r="P372" s="5"/>
      <c r="Q372"/>
      <c r="U372"/>
    </row>
    <row r="373" spans="2:21" x14ac:dyDescent="0.2">
      <c r="B373" s="5"/>
      <c r="F373" s="5"/>
      <c r="G373" s="5"/>
      <c r="K373" s="5"/>
      <c r="L373" s="5"/>
      <c r="P373" s="5"/>
      <c r="Q373"/>
      <c r="U373"/>
    </row>
    <row r="374" spans="2:21" x14ac:dyDescent="0.2">
      <c r="B374" s="5"/>
      <c r="F374" s="5"/>
      <c r="G374" s="5"/>
      <c r="K374" s="5"/>
      <c r="L374" s="5"/>
      <c r="P374" s="5"/>
      <c r="Q374"/>
      <c r="U374"/>
    </row>
    <row r="375" spans="2:21" x14ac:dyDescent="0.2">
      <c r="B375" s="5"/>
      <c r="F375" s="5"/>
      <c r="G375" s="5"/>
      <c r="K375" s="5"/>
      <c r="L375" s="5"/>
      <c r="P375" s="5"/>
      <c r="Q375"/>
      <c r="U375"/>
    </row>
    <row r="376" spans="2:21" x14ac:dyDescent="0.2">
      <c r="B376" s="5"/>
      <c r="F376" s="5"/>
      <c r="G376" s="5"/>
      <c r="K376" s="5"/>
      <c r="L376" s="5"/>
      <c r="P376" s="5"/>
      <c r="Q376"/>
      <c r="U376"/>
    </row>
    <row r="377" spans="2:21" x14ac:dyDescent="0.2">
      <c r="B377" s="5"/>
      <c r="F377" s="5"/>
      <c r="G377" s="5"/>
      <c r="K377" s="5"/>
      <c r="L377" s="5"/>
      <c r="P377" s="5"/>
      <c r="Q377"/>
      <c r="U377"/>
    </row>
    <row r="378" spans="2:21" x14ac:dyDescent="0.2">
      <c r="B378" s="5"/>
      <c r="F378" s="5"/>
      <c r="G378" s="5"/>
      <c r="K378" s="5"/>
      <c r="L378" s="5"/>
      <c r="P378" s="5"/>
      <c r="Q378"/>
      <c r="U378"/>
    </row>
    <row r="379" spans="2:21" x14ac:dyDescent="0.2">
      <c r="B379" s="5"/>
      <c r="F379" s="5"/>
      <c r="G379" s="5"/>
      <c r="K379" s="5"/>
      <c r="L379" s="5"/>
      <c r="P379" s="5"/>
      <c r="Q379"/>
      <c r="U379"/>
    </row>
    <row r="380" spans="2:21" x14ac:dyDescent="0.2">
      <c r="B380" s="5"/>
      <c r="F380" s="5"/>
      <c r="G380" s="5"/>
      <c r="K380" s="5"/>
      <c r="L380" s="5"/>
      <c r="P380" s="5"/>
      <c r="Q380"/>
      <c r="U380"/>
    </row>
    <row r="381" spans="2:21" x14ac:dyDescent="0.2">
      <c r="B381" s="5"/>
      <c r="F381" s="5"/>
      <c r="G381" s="5"/>
      <c r="K381" s="5"/>
      <c r="L381" s="5"/>
      <c r="P381" s="5"/>
      <c r="Q381"/>
      <c r="U381"/>
    </row>
    <row r="382" spans="2:21" x14ac:dyDescent="0.2">
      <c r="B382" s="5"/>
      <c r="F382" s="5"/>
      <c r="G382" s="5"/>
      <c r="K382" s="5"/>
      <c r="L382" s="5"/>
      <c r="P382" s="5"/>
      <c r="Q382"/>
      <c r="U382"/>
    </row>
    <row r="383" spans="2:21" x14ac:dyDescent="0.2">
      <c r="B383" s="5"/>
      <c r="F383" s="5"/>
      <c r="G383" s="5"/>
      <c r="K383" s="5"/>
      <c r="L383" s="5"/>
      <c r="P383" s="5"/>
      <c r="Q383"/>
      <c r="U383"/>
    </row>
    <row r="384" spans="2:21" x14ac:dyDescent="0.2">
      <c r="B384" s="5"/>
      <c r="F384" s="5"/>
      <c r="G384" s="5"/>
      <c r="K384" s="5"/>
      <c r="L384" s="5"/>
      <c r="P384" s="5"/>
      <c r="Q384"/>
      <c r="U384"/>
    </row>
    <row r="385" spans="2:21" x14ac:dyDescent="0.2">
      <c r="B385" s="5"/>
      <c r="F385" s="5"/>
      <c r="G385" s="5"/>
      <c r="K385" s="5"/>
      <c r="L385" s="5"/>
      <c r="P385" s="5"/>
      <c r="Q385"/>
      <c r="U385"/>
    </row>
    <row r="386" spans="2:21" x14ac:dyDescent="0.2">
      <c r="B386" s="5"/>
      <c r="F386" s="5"/>
      <c r="G386" s="5"/>
      <c r="K386" s="5"/>
      <c r="L386" s="5"/>
      <c r="P386" s="5"/>
      <c r="Q386"/>
      <c r="U386"/>
    </row>
    <row r="387" spans="2:21" x14ac:dyDescent="0.2">
      <c r="B387" s="5"/>
      <c r="F387" s="5"/>
      <c r="G387" s="5"/>
      <c r="K387" s="5"/>
      <c r="L387" s="5"/>
      <c r="P387" s="5"/>
      <c r="Q387"/>
      <c r="U387"/>
    </row>
    <row r="388" spans="2:21" x14ac:dyDescent="0.2">
      <c r="B388" s="5"/>
      <c r="F388" s="5"/>
      <c r="G388" s="5"/>
      <c r="K388" s="5"/>
      <c r="L388" s="5"/>
      <c r="P388" s="5"/>
      <c r="Q388"/>
      <c r="U388"/>
    </row>
    <row r="389" spans="2:21" x14ac:dyDescent="0.2">
      <c r="B389" s="5"/>
      <c r="F389" s="5"/>
      <c r="G389" s="5"/>
      <c r="K389" s="5"/>
      <c r="L389" s="5"/>
      <c r="P389" s="5"/>
      <c r="Q389"/>
      <c r="U389"/>
    </row>
    <row r="390" spans="2:21" x14ac:dyDescent="0.2">
      <c r="B390" s="5"/>
      <c r="F390" s="5"/>
      <c r="G390" s="5"/>
      <c r="K390" s="5"/>
      <c r="L390" s="5"/>
      <c r="P390" s="5"/>
      <c r="Q390"/>
      <c r="U390"/>
    </row>
    <row r="391" spans="2:21" x14ac:dyDescent="0.2">
      <c r="B391" s="5"/>
      <c r="F391" s="5"/>
      <c r="G391" s="5"/>
      <c r="K391" s="5"/>
      <c r="L391" s="5"/>
      <c r="P391" s="5"/>
      <c r="Q391"/>
      <c r="U391"/>
    </row>
    <row r="392" spans="2:21" x14ac:dyDescent="0.2">
      <c r="B392" s="5"/>
      <c r="F392" s="5"/>
      <c r="G392" s="5"/>
      <c r="K392" s="5"/>
      <c r="L392" s="5"/>
      <c r="P392" s="5"/>
      <c r="Q392"/>
      <c r="U392"/>
    </row>
    <row r="393" spans="2:21" x14ac:dyDescent="0.2">
      <c r="B393" s="5"/>
      <c r="F393" s="5"/>
      <c r="G393" s="5"/>
      <c r="K393" s="5"/>
      <c r="L393" s="5"/>
      <c r="P393" s="5"/>
      <c r="Q393"/>
      <c r="U393"/>
    </row>
    <row r="394" spans="2:21" x14ac:dyDescent="0.2">
      <c r="B394" s="5"/>
      <c r="F394" s="5"/>
      <c r="G394" s="5"/>
      <c r="K394" s="5"/>
      <c r="L394" s="5"/>
      <c r="P394" s="5"/>
      <c r="Q394"/>
      <c r="U394"/>
    </row>
    <row r="395" spans="2:21" x14ac:dyDescent="0.2">
      <c r="B395" s="5"/>
      <c r="F395" s="5"/>
      <c r="G395" s="5"/>
      <c r="K395" s="5"/>
      <c r="L395" s="5"/>
      <c r="P395" s="5"/>
      <c r="Q395"/>
      <c r="U395"/>
    </row>
    <row r="396" spans="2:21" x14ac:dyDescent="0.2">
      <c r="B396" s="5"/>
      <c r="F396" s="5"/>
      <c r="G396" s="5"/>
      <c r="K396" s="5"/>
      <c r="L396" s="5"/>
      <c r="P396" s="5"/>
      <c r="Q396"/>
      <c r="U396"/>
    </row>
    <row r="397" spans="2:21" x14ac:dyDescent="0.2">
      <c r="B397" s="5"/>
      <c r="F397" s="5"/>
      <c r="G397" s="5"/>
      <c r="K397" s="5"/>
      <c r="L397" s="5"/>
      <c r="P397" s="5"/>
      <c r="Q397"/>
      <c r="U397"/>
    </row>
    <row r="398" spans="2:21" x14ac:dyDescent="0.2">
      <c r="B398" s="5"/>
      <c r="F398" s="5"/>
      <c r="G398" s="5"/>
      <c r="K398" s="5"/>
      <c r="L398" s="5"/>
      <c r="P398" s="5"/>
      <c r="Q398"/>
      <c r="U398"/>
    </row>
    <row r="399" spans="2:21" x14ac:dyDescent="0.2">
      <c r="B399" s="5"/>
      <c r="F399" s="5"/>
      <c r="G399" s="5"/>
      <c r="K399" s="5"/>
      <c r="L399" s="5"/>
      <c r="P399" s="5"/>
      <c r="Q399"/>
      <c r="U399"/>
    </row>
    <row r="400" spans="2:21" x14ac:dyDescent="0.2">
      <c r="B400" s="5"/>
      <c r="F400" s="5"/>
      <c r="G400" s="5"/>
      <c r="K400" s="5"/>
      <c r="L400" s="5"/>
      <c r="P400" s="5"/>
      <c r="Q400"/>
      <c r="U400"/>
    </row>
    <row r="401" spans="2:21" x14ac:dyDescent="0.2">
      <c r="B401" s="5"/>
      <c r="F401" s="5"/>
      <c r="G401" s="5"/>
      <c r="K401" s="5"/>
      <c r="L401" s="5"/>
      <c r="P401" s="5"/>
      <c r="Q401"/>
      <c r="U401"/>
    </row>
    <row r="402" spans="2:21" x14ac:dyDescent="0.2">
      <c r="B402" s="5"/>
      <c r="F402" s="5"/>
      <c r="G402" s="5"/>
      <c r="K402" s="5"/>
      <c r="L402" s="5"/>
      <c r="P402" s="5"/>
      <c r="Q402"/>
      <c r="U402"/>
    </row>
    <row r="403" spans="2:21" x14ac:dyDescent="0.2">
      <c r="B403" s="5"/>
      <c r="F403" s="5"/>
      <c r="G403" s="5"/>
      <c r="K403" s="5"/>
      <c r="L403" s="5"/>
      <c r="P403" s="5"/>
      <c r="Q403"/>
      <c r="U403"/>
    </row>
    <row r="404" spans="2:21" x14ac:dyDescent="0.2">
      <c r="B404" s="5"/>
      <c r="F404" s="5"/>
      <c r="G404" s="5"/>
      <c r="K404" s="5"/>
      <c r="L404" s="5"/>
      <c r="P404" s="5"/>
      <c r="Q404"/>
      <c r="U404"/>
    </row>
    <row r="405" spans="2:21" x14ac:dyDescent="0.2">
      <c r="B405" s="5"/>
      <c r="F405" s="5"/>
      <c r="G405" s="5"/>
      <c r="K405" s="5"/>
      <c r="L405" s="5"/>
      <c r="P405" s="5"/>
      <c r="Q405"/>
      <c r="U405"/>
    </row>
    <row r="406" spans="2:21" x14ac:dyDescent="0.2">
      <c r="B406" s="5"/>
      <c r="F406" s="5"/>
      <c r="G406" s="5"/>
      <c r="K406" s="5"/>
      <c r="L406" s="5"/>
      <c r="P406" s="5"/>
      <c r="Q406"/>
      <c r="U406"/>
    </row>
    <row r="407" spans="2:21" x14ac:dyDescent="0.2">
      <c r="B407" s="5"/>
      <c r="F407" s="5"/>
      <c r="G407" s="5"/>
      <c r="K407" s="5"/>
      <c r="L407" s="5"/>
      <c r="P407" s="5"/>
      <c r="Q407"/>
      <c r="U407"/>
    </row>
    <row r="408" spans="2:21" x14ac:dyDescent="0.2">
      <c r="B408" s="5"/>
      <c r="F408" s="5"/>
      <c r="G408" s="5"/>
      <c r="K408" s="5"/>
      <c r="L408" s="5"/>
      <c r="P408" s="5"/>
      <c r="Q408"/>
      <c r="U408"/>
    </row>
    <row r="409" spans="2:21" x14ac:dyDescent="0.2">
      <c r="B409" s="5"/>
      <c r="F409" s="5"/>
      <c r="G409" s="5"/>
      <c r="K409" s="5"/>
      <c r="L409" s="5"/>
      <c r="P409" s="5"/>
      <c r="Q409"/>
      <c r="U409"/>
    </row>
    <row r="410" spans="2:21" x14ac:dyDescent="0.2">
      <c r="B410" s="5"/>
      <c r="F410" s="5"/>
      <c r="G410" s="5"/>
      <c r="K410" s="5"/>
      <c r="L410" s="5"/>
      <c r="P410" s="5"/>
      <c r="Q410"/>
      <c r="U410"/>
    </row>
    <row r="411" spans="2:21" x14ac:dyDescent="0.2">
      <c r="B411" s="5"/>
      <c r="F411" s="5"/>
      <c r="G411" s="5"/>
      <c r="K411" s="5"/>
      <c r="L411" s="5"/>
      <c r="P411" s="5"/>
      <c r="Q411"/>
      <c r="U411"/>
    </row>
    <row r="412" spans="2:21" x14ac:dyDescent="0.2">
      <c r="B412" s="5"/>
      <c r="F412" s="5"/>
      <c r="G412" s="5"/>
      <c r="K412" s="5"/>
      <c r="L412" s="5"/>
      <c r="P412" s="5"/>
      <c r="Q412"/>
      <c r="U412"/>
    </row>
    <row r="413" spans="2:21" x14ac:dyDescent="0.2">
      <c r="B413" s="5"/>
      <c r="F413" s="5"/>
      <c r="G413" s="5"/>
      <c r="K413" s="5"/>
      <c r="L413" s="5"/>
      <c r="P413" s="5"/>
      <c r="Q413"/>
      <c r="U413"/>
    </row>
    <row r="414" spans="2:21" x14ac:dyDescent="0.2">
      <c r="B414" s="5"/>
      <c r="F414" s="5"/>
      <c r="G414" s="5"/>
      <c r="K414" s="5"/>
      <c r="L414" s="5"/>
      <c r="P414" s="5"/>
      <c r="Q414"/>
      <c r="U414"/>
    </row>
    <row r="415" spans="2:21" x14ac:dyDescent="0.2">
      <c r="B415" s="5"/>
      <c r="F415" s="5"/>
      <c r="G415" s="5"/>
      <c r="K415" s="5"/>
      <c r="L415" s="5"/>
      <c r="P415" s="5"/>
      <c r="Q415"/>
      <c r="U415"/>
    </row>
    <row r="416" spans="2:21" x14ac:dyDescent="0.2">
      <c r="B416" s="5"/>
      <c r="F416" s="5"/>
      <c r="G416" s="5"/>
      <c r="K416" s="5"/>
      <c r="L416" s="5"/>
      <c r="P416" s="5"/>
      <c r="Q416"/>
      <c r="U416"/>
    </row>
    <row r="417" spans="2:21" x14ac:dyDescent="0.2">
      <c r="B417" s="5"/>
      <c r="F417" s="5"/>
      <c r="G417" s="5"/>
      <c r="K417" s="5"/>
      <c r="L417" s="5"/>
      <c r="P417" s="5"/>
      <c r="Q417"/>
      <c r="U417"/>
    </row>
    <row r="418" spans="2:21" x14ac:dyDescent="0.2">
      <c r="B418" s="5"/>
      <c r="F418" s="5"/>
      <c r="G418" s="5"/>
      <c r="K418" s="5"/>
      <c r="L418" s="5"/>
      <c r="P418" s="5"/>
      <c r="Q418"/>
      <c r="U418"/>
    </row>
    <row r="419" spans="2:21" x14ac:dyDescent="0.2">
      <c r="B419" s="5"/>
      <c r="F419" s="5"/>
      <c r="G419" s="5"/>
      <c r="K419" s="5"/>
      <c r="L419" s="5"/>
      <c r="P419" s="5"/>
      <c r="Q419"/>
      <c r="U419"/>
    </row>
    <row r="420" spans="2:21" x14ac:dyDescent="0.2">
      <c r="B420" s="5"/>
      <c r="F420" s="5"/>
      <c r="G420" s="5"/>
      <c r="K420" s="5"/>
      <c r="L420" s="5"/>
      <c r="P420" s="5"/>
      <c r="Q420"/>
      <c r="U420"/>
    </row>
    <row r="421" spans="2:21" x14ac:dyDescent="0.2">
      <c r="B421" s="5"/>
      <c r="F421" s="5"/>
      <c r="G421" s="5"/>
      <c r="K421" s="5"/>
      <c r="L421" s="5"/>
      <c r="P421" s="5"/>
      <c r="Q421"/>
      <c r="U421"/>
    </row>
    <row r="422" spans="2:21" x14ac:dyDescent="0.2">
      <c r="B422" s="5"/>
      <c r="F422" s="5"/>
      <c r="G422" s="5"/>
      <c r="K422" s="5"/>
      <c r="L422" s="5"/>
      <c r="P422" s="5"/>
      <c r="Q422"/>
      <c r="U422"/>
    </row>
    <row r="423" spans="2:21" x14ac:dyDescent="0.2">
      <c r="B423" s="5"/>
      <c r="F423" s="5"/>
      <c r="G423" s="5"/>
      <c r="K423" s="5"/>
      <c r="L423" s="5"/>
      <c r="P423" s="5"/>
      <c r="Q423"/>
      <c r="U423"/>
    </row>
    <row r="424" spans="2:21" x14ac:dyDescent="0.2">
      <c r="B424" s="5"/>
      <c r="F424" s="5"/>
      <c r="G424" s="5"/>
      <c r="K424" s="5"/>
      <c r="L424" s="5"/>
      <c r="P424" s="5"/>
      <c r="Q424"/>
      <c r="U424"/>
    </row>
    <row r="425" spans="2:21" x14ac:dyDescent="0.2">
      <c r="B425" s="5"/>
      <c r="F425" s="5"/>
      <c r="G425" s="5"/>
      <c r="K425" s="5"/>
      <c r="L425" s="5"/>
      <c r="P425" s="5"/>
      <c r="Q425"/>
      <c r="U425"/>
    </row>
    <row r="426" spans="2:21" x14ac:dyDescent="0.2">
      <c r="B426" s="5"/>
      <c r="F426" s="5"/>
      <c r="G426" s="5"/>
      <c r="K426" s="5"/>
      <c r="L426" s="5"/>
      <c r="P426" s="5"/>
      <c r="Q426"/>
      <c r="U426"/>
    </row>
    <row r="427" spans="2:21" x14ac:dyDescent="0.2">
      <c r="B427" s="5"/>
      <c r="F427" s="5"/>
      <c r="G427" s="5"/>
      <c r="K427" s="5"/>
      <c r="L427" s="5"/>
      <c r="P427" s="5"/>
      <c r="Q427"/>
      <c r="U427"/>
    </row>
    <row r="428" spans="2:21" x14ac:dyDescent="0.2">
      <c r="B428" s="5"/>
      <c r="F428" s="5"/>
      <c r="G428" s="5"/>
      <c r="K428" s="5"/>
      <c r="L428" s="5"/>
      <c r="P428" s="5"/>
      <c r="Q428"/>
      <c r="U428"/>
    </row>
    <row r="429" spans="2:21" x14ac:dyDescent="0.2">
      <c r="B429" s="5"/>
      <c r="F429" s="5"/>
      <c r="G429" s="5"/>
      <c r="K429" s="5"/>
      <c r="L429" s="5"/>
      <c r="P429" s="5"/>
      <c r="Q429"/>
      <c r="U429"/>
    </row>
    <row r="430" spans="2:21" x14ac:dyDescent="0.2">
      <c r="B430" s="5"/>
      <c r="F430" s="5"/>
      <c r="G430" s="5"/>
      <c r="K430" s="5"/>
      <c r="L430" s="5"/>
      <c r="P430" s="5"/>
      <c r="Q430"/>
      <c r="U430"/>
    </row>
    <row r="431" spans="2:21" x14ac:dyDescent="0.2">
      <c r="B431" s="5"/>
      <c r="F431" s="5"/>
      <c r="G431" s="5"/>
      <c r="K431" s="5"/>
      <c r="L431" s="5"/>
      <c r="P431" s="5"/>
      <c r="Q431"/>
      <c r="U431"/>
    </row>
    <row r="432" spans="2:21" x14ac:dyDescent="0.2">
      <c r="B432" s="5"/>
      <c r="F432" s="5"/>
      <c r="G432" s="5"/>
      <c r="K432" s="5"/>
      <c r="L432" s="5"/>
      <c r="P432" s="5"/>
      <c r="Q432"/>
      <c r="U432"/>
    </row>
    <row r="433" spans="2:21" x14ac:dyDescent="0.2">
      <c r="B433" s="5"/>
      <c r="F433" s="5"/>
      <c r="G433" s="5"/>
      <c r="K433" s="5"/>
      <c r="L433" s="5"/>
      <c r="P433" s="5"/>
      <c r="Q433"/>
      <c r="U433"/>
    </row>
    <row r="434" spans="2:21" x14ac:dyDescent="0.2">
      <c r="B434" s="5"/>
      <c r="F434" s="5"/>
      <c r="G434" s="5"/>
      <c r="K434" s="5"/>
      <c r="L434" s="5"/>
      <c r="P434" s="5"/>
      <c r="Q434"/>
      <c r="U434"/>
    </row>
    <row r="435" spans="2:21" x14ac:dyDescent="0.2">
      <c r="B435" s="5"/>
      <c r="F435" s="5"/>
      <c r="G435" s="5"/>
      <c r="K435" s="5"/>
      <c r="L435" s="5"/>
      <c r="P435" s="5"/>
      <c r="Q435"/>
      <c r="U435"/>
    </row>
    <row r="436" spans="2:21" x14ac:dyDescent="0.2">
      <c r="B436" s="5"/>
      <c r="F436" s="5"/>
      <c r="G436" s="5"/>
      <c r="K436" s="5"/>
      <c r="L436" s="5"/>
      <c r="P436" s="5"/>
      <c r="Q436"/>
      <c r="U436"/>
    </row>
    <row r="437" spans="2:21" x14ac:dyDescent="0.2">
      <c r="B437" s="5"/>
      <c r="F437" s="5"/>
      <c r="G437" s="5"/>
      <c r="K437" s="5"/>
      <c r="L437" s="5"/>
      <c r="P437" s="5"/>
      <c r="Q437"/>
      <c r="U437"/>
    </row>
    <row r="438" spans="2:21" x14ac:dyDescent="0.2">
      <c r="B438" s="5"/>
      <c r="F438" s="5"/>
      <c r="G438" s="5"/>
      <c r="K438" s="5"/>
      <c r="L438" s="5"/>
      <c r="P438" s="5"/>
      <c r="Q438"/>
      <c r="U438"/>
    </row>
    <row r="439" spans="2:21" x14ac:dyDescent="0.2">
      <c r="B439" s="5"/>
      <c r="F439" s="5"/>
      <c r="G439" s="5"/>
      <c r="K439" s="5"/>
      <c r="L439" s="5"/>
      <c r="P439" s="5"/>
      <c r="Q439"/>
      <c r="U439"/>
    </row>
    <row r="440" spans="2:21" x14ac:dyDescent="0.2">
      <c r="B440" s="5"/>
      <c r="F440" s="5"/>
      <c r="G440" s="5"/>
      <c r="K440" s="5"/>
      <c r="L440" s="5"/>
      <c r="P440" s="5"/>
      <c r="Q440"/>
      <c r="U440"/>
    </row>
    <row r="441" spans="2:21" x14ac:dyDescent="0.2">
      <c r="B441" s="5"/>
      <c r="F441" s="5"/>
      <c r="G441" s="5"/>
      <c r="K441" s="5"/>
      <c r="L441" s="5"/>
      <c r="P441" s="5"/>
      <c r="Q441"/>
      <c r="U441"/>
    </row>
    <row r="442" spans="2:21" x14ac:dyDescent="0.2">
      <c r="B442" s="5"/>
      <c r="F442" s="5"/>
      <c r="G442" s="5"/>
      <c r="K442" s="5"/>
      <c r="L442" s="5"/>
      <c r="P442" s="5"/>
      <c r="Q442"/>
      <c r="U442"/>
    </row>
    <row r="443" spans="2:21" x14ac:dyDescent="0.2">
      <c r="B443" s="5"/>
      <c r="F443" s="5"/>
      <c r="G443" s="5"/>
      <c r="K443" s="5"/>
      <c r="L443" s="5"/>
      <c r="P443" s="5"/>
      <c r="Q443"/>
      <c r="U443"/>
    </row>
    <row r="444" spans="2:21" x14ac:dyDescent="0.2">
      <c r="B444" s="5"/>
      <c r="F444" s="5"/>
      <c r="G444" s="5"/>
      <c r="K444" s="5"/>
      <c r="L444" s="5"/>
      <c r="P444" s="5"/>
      <c r="Q444"/>
      <c r="U444"/>
    </row>
    <row r="445" spans="2:21" x14ac:dyDescent="0.2">
      <c r="B445" s="5"/>
      <c r="F445" s="5"/>
      <c r="G445" s="5"/>
      <c r="K445" s="5"/>
      <c r="L445" s="5"/>
      <c r="P445" s="5"/>
      <c r="Q445"/>
      <c r="U445"/>
    </row>
    <row r="446" spans="2:21" x14ac:dyDescent="0.2">
      <c r="B446" s="5"/>
      <c r="F446" s="5"/>
      <c r="G446" s="5"/>
      <c r="K446" s="5"/>
      <c r="L446" s="5"/>
      <c r="P446" s="5"/>
      <c r="Q446"/>
      <c r="U446"/>
    </row>
    <row r="447" spans="2:21" x14ac:dyDescent="0.2">
      <c r="B447" s="5"/>
      <c r="F447" s="5"/>
      <c r="G447" s="5"/>
      <c r="K447" s="5"/>
      <c r="L447" s="5"/>
      <c r="P447" s="5"/>
      <c r="Q447"/>
      <c r="U447"/>
    </row>
    <row r="448" spans="2:21" x14ac:dyDescent="0.2">
      <c r="B448" s="5"/>
      <c r="F448" s="5"/>
      <c r="G448" s="5"/>
      <c r="K448" s="5"/>
      <c r="L448" s="5"/>
      <c r="P448" s="5"/>
      <c r="Q448"/>
      <c r="U448"/>
    </row>
    <row r="449" spans="2:21" x14ac:dyDescent="0.2">
      <c r="B449" s="5"/>
      <c r="F449" s="5"/>
      <c r="G449" s="5"/>
      <c r="K449" s="5"/>
      <c r="L449" s="5"/>
      <c r="P449" s="5"/>
      <c r="Q449"/>
      <c r="U449"/>
    </row>
    <row r="450" spans="2:21" x14ac:dyDescent="0.2">
      <c r="B450" s="5"/>
      <c r="F450" s="5"/>
      <c r="G450" s="5"/>
      <c r="K450" s="5"/>
      <c r="L450" s="5"/>
      <c r="P450" s="5"/>
      <c r="Q450"/>
      <c r="U450"/>
    </row>
    <row r="451" spans="2:21" x14ac:dyDescent="0.2">
      <c r="B451" s="5"/>
      <c r="F451" s="5"/>
      <c r="G451" s="5"/>
      <c r="K451" s="5"/>
      <c r="L451" s="5"/>
      <c r="P451" s="5"/>
      <c r="Q451"/>
      <c r="U451"/>
    </row>
    <row r="452" spans="2:21" x14ac:dyDescent="0.2">
      <c r="B452" s="5"/>
      <c r="F452" s="5"/>
      <c r="G452" s="5"/>
      <c r="K452" s="5"/>
      <c r="L452" s="5"/>
      <c r="P452" s="5"/>
      <c r="Q452"/>
      <c r="U452"/>
    </row>
    <row r="453" spans="2:21" x14ac:dyDescent="0.2">
      <c r="B453" s="5"/>
      <c r="F453" s="5"/>
      <c r="G453" s="5"/>
      <c r="K453" s="5"/>
      <c r="L453" s="5"/>
      <c r="P453" s="5"/>
      <c r="Q453"/>
      <c r="U453"/>
    </row>
    <row r="454" spans="2:21" x14ac:dyDescent="0.2">
      <c r="B454" s="5"/>
      <c r="F454" s="5"/>
      <c r="G454" s="5"/>
      <c r="K454" s="5"/>
      <c r="L454" s="5"/>
      <c r="P454" s="5"/>
      <c r="Q454"/>
      <c r="U454"/>
    </row>
    <row r="455" spans="2:21" x14ac:dyDescent="0.2">
      <c r="B455" s="5"/>
      <c r="F455" s="5"/>
      <c r="G455" s="5"/>
      <c r="K455" s="5"/>
      <c r="L455" s="5"/>
      <c r="P455" s="5"/>
      <c r="Q455"/>
      <c r="U455"/>
    </row>
    <row r="456" spans="2:21" x14ac:dyDescent="0.2">
      <c r="B456" s="5"/>
      <c r="F456" s="5"/>
      <c r="G456" s="5"/>
      <c r="K456" s="5"/>
      <c r="L456" s="5"/>
      <c r="P456" s="5"/>
      <c r="Q456"/>
      <c r="U456"/>
    </row>
    <row r="457" spans="2:21" x14ac:dyDescent="0.2">
      <c r="B457" s="5"/>
      <c r="F457" s="5"/>
      <c r="G457" s="5"/>
      <c r="K457" s="5"/>
      <c r="L457" s="5"/>
      <c r="P457" s="5"/>
      <c r="Q457"/>
      <c r="U457"/>
    </row>
    <row r="458" spans="2:21" x14ac:dyDescent="0.2">
      <c r="B458" s="5"/>
      <c r="F458" s="5"/>
      <c r="G458" s="5"/>
      <c r="K458" s="5"/>
      <c r="L458" s="5"/>
      <c r="P458" s="5"/>
      <c r="Q458"/>
      <c r="U458"/>
    </row>
    <row r="459" spans="2:21" x14ac:dyDescent="0.2">
      <c r="B459" s="5"/>
      <c r="F459" s="5"/>
      <c r="G459" s="5"/>
      <c r="K459" s="5"/>
      <c r="L459" s="5"/>
      <c r="P459" s="5"/>
      <c r="Q459"/>
      <c r="U459"/>
    </row>
    <row r="460" spans="2:21" x14ac:dyDescent="0.2">
      <c r="B460" s="5"/>
      <c r="F460" s="5"/>
      <c r="G460" s="5"/>
      <c r="K460" s="5"/>
      <c r="L460" s="5"/>
      <c r="P460" s="5"/>
      <c r="Q460"/>
      <c r="U460"/>
    </row>
    <row r="461" spans="2:21" x14ac:dyDescent="0.2">
      <c r="B461" s="5"/>
      <c r="F461" s="5"/>
      <c r="G461" s="5"/>
      <c r="K461" s="5"/>
      <c r="L461" s="5"/>
      <c r="P461" s="5"/>
      <c r="Q461"/>
      <c r="U461"/>
    </row>
    <row r="462" spans="2:21" x14ac:dyDescent="0.2">
      <c r="B462" s="5"/>
      <c r="F462" s="5"/>
      <c r="G462" s="5"/>
      <c r="K462" s="5"/>
      <c r="L462" s="5"/>
      <c r="P462" s="5"/>
      <c r="Q462"/>
      <c r="U462"/>
    </row>
    <row r="463" spans="2:21" x14ac:dyDescent="0.2">
      <c r="B463" s="5"/>
      <c r="F463" s="5"/>
      <c r="G463" s="5"/>
      <c r="K463" s="5"/>
      <c r="L463" s="5"/>
      <c r="P463" s="5"/>
      <c r="Q463"/>
      <c r="U463"/>
    </row>
    <row r="464" spans="2:21" x14ac:dyDescent="0.2">
      <c r="B464" s="5"/>
      <c r="F464" s="5"/>
      <c r="G464" s="5"/>
      <c r="K464" s="5"/>
      <c r="L464" s="5"/>
      <c r="P464" s="5"/>
      <c r="Q464"/>
      <c r="U464"/>
    </row>
    <row r="465" spans="2:21" x14ac:dyDescent="0.2">
      <c r="B465" s="5"/>
      <c r="F465" s="5"/>
      <c r="G465" s="5"/>
      <c r="K465" s="5"/>
      <c r="L465" s="5"/>
      <c r="P465" s="5"/>
      <c r="Q465"/>
      <c r="U465"/>
    </row>
    <row r="466" spans="2:21" x14ac:dyDescent="0.2">
      <c r="B466" s="5"/>
      <c r="F466" s="5"/>
      <c r="G466" s="5"/>
      <c r="K466" s="5"/>
      <c r="L466" s="5"/>
      <c r="P466" s="5"/>
      <c r="Q466"/>
      <c r="U466"/>
    </row>
    <row r="467" spans="2:21" x14ac:dyDescent="0.2">
      <c r="B467" s="5"/>
      <c r="F467" s="5"/>
      <c r="G467" s="5"/>
      <c r="K467" s="5"/>
      <c r="L467" s="5"/>
      <c r="P467" s="5"/>
      <c r="Q467"/>
      <c r="U467"/>
    </row>
    <row r="468" spans="2:21" x14ac:dyDescent="0.2">
      <c r="B468" s="5"/>
      <c r="F468" s="5"/>
      <c r="G468" s="5"/>
      <c r="K468" s="5"/>
      <c r="L468" s="5"/>
      <c r="P468" s="5"/>
      <c r="Q468"/>
      <c r="U468"/>
    </row>
    <row r="469" spans="2:21" x14ac:dyDescent="0.2">
      <c r="B469" s="5"/>
      <c r="F469" s="5"/>
      <c r="G469" s="5"/>
      <c r="K469" s="5"/>
      <c r="L469" s="5"/>
      <c r="P469" s="5"/>
      <c r="Q469"/>
      <c r="U469"/>
    </row>
    <row r="470" spans="2:21" x14ac:dyDescent="0.2">
      <c r="B470" s="5"/>
      <c r="F470" s="5"/>
      <c r="G470" s="5"/>
      <c r="K470" s="5"/>
      <c r="L470" s="5"/>
      <c r="P470" s="5"/>
      <c r="Q470"/>
      <c r="U470"/>
    </row>
    <row r="471" spans="2:21" x14ac:dyDescent="0.2">
      <c r="B471" s="5"/>
      <c r="F471" s="5"/>
      <c r="G471" s="5"/>
      <c r="K471" s="5"/>
      <c r="L471" s="5"/>
      <c r="P471" s="5"/>
      <c r="Q471"/>
      <c r="U471"/>
    </row>
    <row r="472" spans="2:21" x14ac:dyDescent="0.2">
      <c r="B472" s="5"/>
      <c r="F472" s="5"/>
      <c r="G472" s="5"/>
      <c r="K472" s="5"/>
      <c r="L472" s="5"/>
      <c r="P472" s="5"/>
      <c r="Q472"/>
      <c r="U472"/>
    </row>
    <row r="473" spans="2:21" x14ac:dyDescent="0.2">
      <c r="B473" s="5"/>
      <c r="F473" s="5"/>
      <c r="G473" s="5"/>
      <c r="K473" s="5"/>
      <c r="L473" s="5"/>
      <c r="P473" s="5"/>
      <c r="Q473"/>
      <c r="U473"/>
    </row>
    <row r="474" spans="2:21" x14ac:dyDescent="0.2">
      <c r="B474" s="5"/>
      <c r="F474" s="5"/>
      <c r="G474" s="5"/>
      <c r="K474" s="5"/>
      <c r="L474" s="5"/>
      <c r="P474" s="5"/>
      <c r="Q474"/>
      <c r="U474"/>
    </row>
    <row r="475" spans="2:21" x14ac:dyDescent="0.2">
      <c r="B475" s="5"/>
      <c r="F475" s="5"/>
      <c r="G475" s="5"/>
      <c r="K475" s="5"/>
      <c r="L475" s="5"/>
      <c r="P475" s="5"/>
      <c r="Q475"/>
      <c r="U475"/>
    </row>
    <row r="476" spans="2:21" x14ac:dyDescent="0.2">
      <c r="B476" s="5"/>
      <c r="F476" s="5"/>
      <c r="G476" s="5"/>
      <c r="K476" s="5"/>
      <c r="L476" s="5"/>
      <c r="P476" s="5"/>
      <c r="Q476"/>
      <c r="U476"/>
    </row>
    <row r="477" spans="2:21" x14ac:dyDescent="0.2">
      <c r="B477" s="5"/>
      <c r="F477" s="5"/>
      <c r="G477" s="5"/>
      <c r="K477" s="5"/>
      <c r="L477" s="5"/>
      <c r="P477" s="5"/>
      <c r="Q477"/>
      <c r="U477"/>
    </row>
    <row r="478" spans="2:21" x14ac:dyDescent="0.2">
      <c r="B478" s="5"/>
      <c r="F478" s="5"/>
      <c r="G478" s="5"/>
      <c r="K478" s="5"/>
      <c r="L478" s="5"/>
      <c r="P478" s="5"/>
      <c r="Q478"/>
      <c r="U478"/>
    </row>
    <row r="479" spans="2:21" x14ac:dyDescent="0.2">
      <c r="B479" s="5"/>
      <c r="F479" s="5"/>
      <c r="G479" s="5"/>
      <c r="K479" s="5"/>
      <c r="L479" s="5"/>
      <c r="P479" s="5"/>
      <c r="Q479"/>
      <c r="U479"/>
    </row>
    <row r="480" spans="2:21" x14ac:dyDescent="0.2">
      <c r="B480" s="5"/>
      <c r="F480" s="5"/>
      <c r="G480" s="5"/>
      <c r="K480" s="5"/>
      <c r="L480" s="5"/>
      <c r="P480" s="5"/>
      <c r="Q480"/>
      <c r="U480"/>
    </row>
    <row r="481" spans="2:21" x14ac:dyDescent="0.2">
      <c r="B481" s="5"/>
      <c r="F481" s="5"/>
      <c r="G481" s="5"/>
      <c r="K481" s="5"/>
      <c r="L481" s="5"/>
      <c r="P481" s="5"/>
      <c r="Q481"/>
      <c r="U481"/>
    </row>
    <row r="482" spans="2:21" x14ac:dyDescent="0.2">
      <c r="B482" s="5"/>
      <c r="F482" s="5"/>
      <c r="G482" s="5"/>
      <c r="K482" s="5"/>
      <c r="L482" s="5"/>
      <c r="P482" s="5"/>
      <c r="Q482"/>
      <c r="U482"/>
    </row>
    <row r="483" spans="2:21" x14ac:dyDescent="0.2">
      <c r="B483" s="5"/>
      <c r="F483" s="5"/>
      <c r="G483" s="5"/>
      <c r="K483" s="5"/>
      <c r="L483" s="5"/>
      <c r="P483" s="5"/>
      <c r="Q483"/>
      <c r="U483"/>
    </row>
    <row r="484" spans="2:21" x14ac:dyDescent="0.2">
      <c r="B484" s="5"/>
      <c r="F484" s="5"/>
      <c r="G484" s="5"/>
      <c r="K484" s="5"/>
      <c r="L484" s="5"/>
      <c r="P484" s="5"/>
      <c r="Q484"/>
      <c r="U484"/>
    </row>
    <row r="485" spans="2:21" x14ac:dyDescent="0.2">
      <c r="B485" s="5"/>
      <c r="F485" s="5"/>
      <c r="G485" s="5"/>
      <c r="K485" s="5"/>
      <c r="L485" s="5"/>
      <c r="P485" s="5"/>
      <c r="Q485"/>
      <c r="U485"/>
    </row>
    <row r="486" spans="2:21" x14ac:dyDescent="0.2">
      <c r="B486" s="5"/>
      <c r="F486" s="5"/>
      <c r="G486" s="5"/>
      <c r="K486" s="5"/>
      <c r="L486" s="5"/>
      <c r="P486" s="5"/>
      <c r="Q486"/>
      <c r="U486"/>
    </row>
    <row r="487" spans="2:21" x14ac:dyDescent="0.2">
      <c r="B487" s="5"/>
      <c r="F487" s="5"/>
      <c r="G487" s="5"/>
      <c r="K487" s="5"/>
      <c r="L487" s="5"/>
      <c r="P487" s="5"/>
      <c r="Q487"/>
      <c r="U487"/>
    </row>
    <row r="488" spans="2:21" x14ac:dyDescent="0.2">
      <c r="B488" s="5"/>
      <c r="F488" s="5"/>
      <c r="G488" s="5"/>
      <c r="K488" s="5"/>
      <c r="L488" s="5"/>
      <c r="P488" s="5"/>
      <c r="Q488"/>
      <c r="U488"/>
    </row>
    <row r="489" spans="2:21" x14ac:dyDescent="0.2">
      <c r="B489" s="5"/>
      <c r="F489" s="5"/>
      <c r="G489" s="5"/>
      <c r="K489" s="5"/>
      <c r="L489" s="5"/>
      <c r="P489" s="5"/>
      <c r="Q489"/>
      <c r="U489"/>
    </row>
    <row r="490" spans="2:21" x14ac:dyDescent="0.2">
      <c r="B490" s="5"/>
      <c r="F490" s="5"/>
      <c r="G490" s="5"/>
      <c r="K490" s="5"/>
      <c r="L490" s="5"/>
      <c r="P490" s="5"/>
      <c r="Q490"/>
      <c r="U490"/>
    </row>
    <row r="491" spans="2:21" x14ac:dyDescent="0.2">
      <c r="B491" s="5"/>
      <c r="F491" s="5"/>
      <c r="G491" s="5"/>
      <c r="K491" s="5"/>
      <c r="L491" s="5"/>
      <c r="P491" s="5"/>
      <c r="Q491"/>
      <c r="U491"/>
    </row>
    <row r="492" spans="2:21" x14ac:dyDescent="0.2">
      <c r="B492" s="5"/>
      <c r="F492" s="5"/>
      <c r="G492" s="5"/>
      <c r="K492" s="5"/>
      <c r="L492" s="5"/>
      <c r="P492" s="5"/>
      <c r="Q492"/>
      <c r="U492"/>
    </row>
    <row r="493" spans="2:21" x14ac:dyDescent="0.2">
      <c r="B493" s="5"/>
      <c r="F493" s="5"/>
      <c r="G493" s="5"/>
      <c r="K493" s="5"/>
      <c r="L493" s="5"/>
      <c r="P493" s="5"/>
      <c r="Q493"/>
      <c r="U493"/>
    </row>
    <row r="494" spans="2:21" x14ac:dyDescent="0.2">
      <c r="B494" s="5"/>
      <c r="F494" s="5"/>
      <c r="G494" s="5"/>
      <c r="K494" s="5"/>
      <c r="L494" s="5"/>
      <c r="P494" s="5"/>
      <c r="Q494"/>
      <c r="U494"/>
    </row>
    <row r="495" spans="2:21" x14ac:dyDescent="0.2">
      <c r="B495" s="5"/>
      <c r="F495" s="5"/>
      <c r="G495" s="5"/>
      <c r="K495" s="5"/>
      <c r="L495" s="5"/>
      <c r="P495" s="5"/>
      <c r="Q495"/>
      <c r="U495"/>
    </row>
    <row r="496" spans="2:21" x14ac:dyDescent="0.2">
      <c r="B496" s="5"/>
      <c r="F496" s="5"/>
      <c r="G496" s="5"/>
      <c r="K496" s="5"/>
      <c r="L496" s="5"/>
      <c r="P496" s="5"/>
      <c r="Q496"/>
      <c r="U496"/>
    </row>
    <row r="497" spans="2:21" x14ac:dyDescent="0.2">
      <c r="B497" s="5"/>
      <c r="F497" s="5"/>
      <c r="G497" s="5"/>
      <c r="K497" s="5"/>
      <c r="L497" s="5"/>
      <c r="P497" s="5"/>
      <c r="Q497"/>
      <c r="U497"/>
    </row>
    <row r="498" spans="2:21" x14ac:dyDescent="0.2">
      <c r="B498" s="5"/>
      <c r="F498" s="5"/>
      <c r="G498" s="5"/>
      <c r="K498" s="5"/>
      <c r="L498" s="5"/>
      <c r="P498" s="5"/>
      <c r="Q498"/>
      <c r="U498"/>
    </row>
    <row r="499" spans="2:21" x14ac:dyDescent="0.2">
      <c r="B499" s="5"/>
      <c r="F499" s="5"/>
      <c r="G499" s="5"/>
      <c r="K499" s="5"/>
      <c r="L499" s="5"/>
      <c r="P499" s="5"/>
      <c r="Q499"/>
      <c r="U499"/>
    </row>
    <row r="500" spans="2:21" x14ac:dyDescent="0.2">
      <c r="B500" s="5"/>
      <c r="F500" s="5"/>
      <c r="G500" s="5"/>
      <c r="K500" s="5"/>
      <c r="L500" s="5"/>
      <c r="P500" s="5"/>
      <c r="Q500"/>
      <c r="U500"/>
    </row>
    <row r="501" spans="2:21" x14ac:dyDescent="0.2">
      <c r="B501" s="5"/>
      <c r="F501" s="5"/>
      <c r="G501" s="5"/>
      <c r="K501" s="5"/>
      <c r="L501" s="5"/>
      <c r="P501" s="5"/>
      <c r="Q501"/>
      <c r="U501"/>
    </row>
    <row r="502" spans="2:21" x14ac:dyDescent="0.2">
      <c r="B502" s="5"/>
      <c r="F502" s="5"/>
      <c r="G502" s="5"/>
      <c r="K502" s="5"/>
      <c r="L502" s="5"/>
      <c r="P502" s="5"/>
      <c r="Q502"/>
      <c r="U502"/>
    </row>
    <row r="503" spans="2:21" x14ac:dyDescent="0.2">
      <c r="B503" s="5"/>
      <c r="F503" s="5"/>
      <c r="G503" s="5"/>
      <c r="K503" s="5"/>
      <c r="L503" s="5"/>
      <c r="P503" s="5"/>
      <c r="Q503"/>
      <c r="U503"/>
    </row>
    <row r="504" spans="2:21" x14ac:dyDescent="0.2">
      <c r="B504" s="5"/>
      <c r="F504" s="5"/>
      <c r="G504" s="5"/>
      <c r="K504" s="5"/>
      <c r="L504" s="5"/>
      <c r="P504" s="5"/>
      <c r="Q504"/>
      <c r="U504"/>
    </row>
    <row r="505" spans="2:21" x14ac:dyDescent="0.2">
      <c r="B505" s="5"/>
      <c r="F505" s="5"/>
      <c r="G505" s="5"/>
      <c r="K505" s="5"/>
      <c r="L505" s="5"/>
      <c r="P505" s="5"/>
      <c r="Q505"/>
      <c r="U505"/>
    </row>
    <row r="506" spans="2:21" x14ac:dyDescent="0.2">
      <c r="B506" s="5"/>
      <c r="F506" s="5"/>
      <c r="G506" s="5"/>
      <c r="K506" s="5"/>
      <c r="L506" s="5"/>
      <c r="P506" s="5"/>
      <c r="Q506"/>
      <c r="U506"/>
    </row>
    <row r="507" spans="2:21" x14ac:dyDescent="0.2">
      <c r="B507" s="5"/>
      <c r="F507" s="5"/>
      <c r="G507" s="5"/>
      <c r="K507" s="5"/>
      <c r="L507" s="5"/>
      <c r="P507" s="5"/>
      <c r="Q507"/>
      <c r="U507"/>
    </row>
    <row r="508" spans="2:21" x14ac:dyDescent="0.2">
      <c r="B508" s="5"/>
      <c r="F508" s="5"/>
      <c r="G508" s="5"/>
      <c r="K508" s="5"/>
      <c r="L508" s="5"/>
      <c r="P508" s="5"/>
      <c r="Q508"/>
      <c r="U508"/>
    </row>
    <row r="509" spans="2:21" x14ac:dyDescent="0.2">
      <c r="B509" s="5"/>
      <c r="F509" s="5"/>
      <c r="G509" s="5"/>
      <c r="K509" s="5"/>
      <c r="L509" s="5"/>
      <c r="P509" s="5"/>
      <c r="Q509"/>
      <c r="U509"/>
    </row>
    <row r="510" spans="2:21" x14ac:dyDescent="0.2">
      <c r="B510" s="5"/>
      <c r="F510" s="5"/>
      <c r="G510" s="5"/>
      <c r="K510" s="5"/>
      <c r="L510" s="5"/>
      <c r="P510" s="5"/>
      <c r="Q510"/>
      <c r="U510"/>
    </row>
    <row r="511" spans="2:21" x14ac:dyDescent="0.2">
      <c r="B511" s="5"/>
      <c r="F511" s="5"/>
      <c r="G511" s="5"/>
      <c r="K511" s="5"/>
      <c r="L511" s="5"/>
      <c r="P511" s="5"/>
      <c r="Q511"/>
      <c r="U511"/>
    </row>
    <row r="512" spans="2:21" x14ac:dyDescent="0.2">
      <c r="B512" s="5"/>
      <c r="F512" s="5"/>
      <c r="G512" s="5"/>
      <c r="K512" s="5"/>
      <c r="L512" s="5"/>
      <c r="P512" s="5"/>
      <c r="Q512"/>
      <c r="U512"/>
    </row>
    <row r="513" spans="2:21" x14ac:dyDescent="0.2">
      <c r="B513" s="5"/>
      <c r="F513" s="5"/>
      <c r="G513" s="5"/>
      <c r="K513" s="5"/>
      <c r="L513" s="5"/>
      <c r="P513" s="5"/>
      <c r="Q513"/>
      <c r="U513"/>
    </row>
    <row r="514" spans="2:21" x14ac:dyDescent="0.2">
      <c r="B514" s="5"/>
      <c r="F514" s="5"/>
      <c r="G514" s="5"/>
      <c r="K514" s="5"/>
      <c r="L514" s="5"/>
      <c r="P514" s="5"/>
      <c r="Q514"/>
      <c r="U514"/>
    </row>
    <row r="515" spans="2:21" x14ac:dyDescent="0.2">
      <c r="B515" s="5"/>
      <c r="F515" s="5"/>
      <c r="G515" s="5"/>
      <c r="K515" s="5"/>
      <c r="L515" s="5"/>
      <c r="P515" s="5"/>
      <c r="Q515"/>
      <c r="U515"/>
    </row>
    <row r="516" spans="2:21" x14ac:dyDescent="0.2">
      <c r="B516" s="5"/>
      <c r="F516" s="5"/>
      <c r="G516" s="5"/>
      <c r="K516" s="5"/>
      <c r="L516" s="5"/>
      <c r="P516" s="5"/>
      <c r="Q516"/>
      <c r="U516"/>
    </row>
    <row r="517" spans="2:21" x14ac:dyDescent="0.2">
      <c r="B517" s="5"/>
      <c r="F517" s="5"/>
      <c r="G517" s="5"/>
      <c r="K517" s="5"/>
      <c r="L517" s="5"/>
      <c r="P517" s="5"/>
      <c r="Q517"/>
      <c r="U517"/>
    </row>
    <row r="518" spans="2:21" x14ac:dyDescent="0.2">
      <c r="B518" s="5"/>
      <c r="F518" s="5"/>
      <c r="G518" s="5"/>
      <c r="K518" s="5"/>
      <c r="L518" s="5"/>
      <c r="P518" s="5"/>
      <c r="Q518"/>
      <c r="U518"/>
    </row>
    <row r="519" spans="2:21" x14ac:dyDescent="0.2">
      <c r="B519" s="5"/>
      <c r="F519" s="5"/>
      <c r="G519" s="5"/>
      <c r="K519" s="5"/>
      <c r="L519" s="5"/>
      <c r="P519" s="5"/>
      <c r="Q519"/>
      <c r="U519"/>
    </row>
    <row r="520" spans="2:21" x14ac:dyDescent="0.2">
      <c r="B520" s="5"/>
      <c r="F520" s="5"/>
      <c r="G520" s="5"/>
      <c r="K520" s="5"/>
      <c r="L520" s="5"/>
      <c r="P520" s="5"/>
      <c r="Q520"/>
      <c r="U520"/>
    </row>
    <row r="521" spans="2:21" x14ac:dyDescent="0.2">
      <c r="B521" s="5"/>
      <c r="F521" s="5"/>
      <c r="G521" s="5"/>
      <c r="K521" s="5"/>
      <c r="L521" s="5"/>
      <c r="P521" s="5"/>
      <c r="Q521"/>
      <c r="U521"/>
    </row>
    <row r="522" spans="2:21" x14ac:dyDescent="0.2">
      <c r="B522" s="5"/>
      <c r="F522" s="5"/>
      <c r="G522" s="5"/>
      <c r="K522" s="5"/>
      <c r="L522" s="5"/>
      <c r="P522" s="5"/>
      <c r="Q522"/>
      <c r="U522"/>
    </row>
    <row r="523" spans="2:21" x14ac:dyDescent="0.2">
      <c r="B523" s="5"/>
      <c r="F523" s="5"/>
      <c r="G523" s="5"/>
      <c r="K523" s="5"/>
      <c r="L523" s="5"/>
      <c r="P523" s="5"/>
      <c r="Q523"/>
      <c r="U523"/>
    </row>
    <row r="524" spans="2:21" x14ac:dyDescent="0.2">
      <c r="B524" s="5"/>
      <c r="F524" s="5"/>
      <c r="G524" s="5"/>
      <c r="K524" s="5"/>
      <c r="L524" s="5"/>
      <c r="P524" s="5"/>
      <c r="Q524"/>
      <c r="U524"/>
    </row>
    <row r="525" spans="2:21" x14ac:dyDescent="0.2">
      <c r="B525" s="5"/>
      <c r="F525" s="5"/>
      <c r="G525" s="5"/>
      <c r="K525" s="5"/>
      <c r="L525" s="5"/>
      <c r="P525" s="5"/>
      <c r="Q525"/>
      <c r="U525"/>
    </row>
    <row r="526" spans="2:21" x14ac:dyDescent="0.2">
      <c r="B526" s="5"/>
      <c r="F526" s="5"/>
      <c r="G526" s="5"/>
      <c r="K526" s="5"/>
      <c r="L526" s="5"/>
      <c r="P526" s="5"/>
      <c r="Q526"/>
      <c r="U526"/>
    </row>
    <row r="527" spans="2:21" x14ac:dyDescent="0.2">
      <c r="B527" s="5"/>
      <c r="F527" s="5"/>
      <c r="G527" s="5"/>
      <c r="K527" s="5"/>
      <c r="L527" s="5"/>
      <c r="P527" s="5"/>
      <c r="Q527"/>
      <c r="U527"/>
    </row>
    <row r="528" spans="2:21" x14ac:dyDescent="0.2">
      <c r="B528" s="5"/>
      <c r="F528" s="5"/>
      <c r="G528" s="5"/>
      <c r="K528" s="5"/>
      <c r="L528" s="5"/>
      <c r="P528" s="5"/>
      <c r="Q528"/>
      <c r="U528"/>
    </row>
    <row r="529" spans="2:21" x14ac:dyDescent="0.2">
      <c r="B529" s="5"/>
      <c r="F529" s="5"/>
      <c r="G529" s="5"/>
      <c r="K529" s="5"/>
      <c r="L529" s="5"/>
      <c r="P529" s="5"/>
      <c r="Q529"/>
      <c r="U529"/>
    </row>
    <row r="530" spans="2:21" x14ac:dyDescent="0.2">
      <c r="B530" s="5"/>
      <c r="F530" s="5"/>
      <c r="G530" s="5"/>
      <c r="K530" s="5"/>
      <c r="L530" s="5"/>
      <c r="P530" s="5"/>
      <c r="Q530"/>
      <c r="U530"/>
    </row>
    <row r="531" spans="2:21" x14ac:dyDescent="0.2">
      <c r="B531" s="5"/>
      <c r="F531" s="5"/>
      <c r="G531" s="5"/>
      <c r="K531" s="5"/>
      <c r="L531" s="5"/>
      <c r="P531" s="5"/>
      <c r="Q531"/>
      <c r="U531"/>
    </row>
    <row r="532" spans="2:21" x14ac:dyDescent="0.2">
      <c r="B532" s="5"/>
      <c r="F532" s="5"/>
      <c r="G532" s="5"/>
      <c r="K532" s="5"/>
      <c r="L532" s="5"/>
      <c r="P532" s="5"/>
      <c r="Q532"/>
      <c r="U532"/>
    </row>
    <row r="533" spans="2:21" x14ac:dyDescent="0.2">
      <c r="B533" s="5"/>
      <c r="F533" s="5"/>
      <c r="G533" s="5"/>
      <c r="K533" s="5"/>
      <c r="L533" s="5"/>
      <c r="P533" s="5"/>
      <c r="Q533"/>
      <c r="U533"/>
    </row>
    <row r="534" spans="2:21" x14ac:dyDescent="0.2">
      <c r="B534" s="5"/>
      <c r="F534" s="5"/>
      <c r="G534" s="5"/>
      <c r="K534" s="5"/>
      <c r="L534" s="5"/>
      <c r="P534" s="5"/>
      <c r="Q534"/>
      <c r="U534"/>
    </row>
    <row r="535" spans="2:21" x14ac:dyDescent="0.2">
      <c r="B535" s="5"/>
      <c r="F535" s="5"/>
      <c r="G535" s="5"/>
      <c r="K535" s="5"/>
      <c r="L535" s="5"/>
      <c r="P535" s="5"/>
      <c r="Q535"/>
      <c r="U535"/>
    </row>
    <row r="536" spans="2:21" x14ac:dyDescent="0.2">
      <c r="B536" s="5"/>
      <c r="F536" s="5"/>
      <c r="G536" s="5"/>
      <c r="K536" s="5"/>
      <c r="L536" s="5"/>
      <c r="P536" s="5"/>
      <c r="Q536"/>
      <c r="U536"/>
    </row>
    <row r="537" spans="2:21" x14ac:dyDescent="0.2">
      <c r="B537" s="5"/>
      <c r="F537" s="5"/>
      <c r="G537" s="5"/>
      <c r="K537" s="5"/>
      <c r="L537" s="5"/>
      <c r="P537" s="5"/>
      <c r="Q537"/>
      <c r="U537"/>
    </row>
    <row r="538" spans="2:21" x14ac:dyDescent="0.2">
      <c r="B538" s="5"/>
      <c r="F538" s="5"/>
      <c r="G538" s="5"/>
      <c r="K538" s="5"/>
      <c r="L538" s="5"/>
      <c r="P538" s="5"/>
      <c r="Q538"/>
      <c r="U538"/>
    </row>
    <row r="539" spans="2:21" x14ac:dyDescent="0.2">
      <c r="B539" s="5"/>
      <c r="F539" s="5"/>
      <c r="G539" s="5"/>
      <c r="K539" s="5"/>
      <c r="L539" s="5"/>
      <c r="P539" s="5"/>
      <c r="Q539"/>
      <c r="U539"/>
    </row>
    <row r="540" spans="2:21" x14ac:dyDescent="0.2">
      <c r="B540" s="5"/>
      <c r="F540" s="5"/>
      <c r="G540" s="5"/>
      <c r="K540" s="5"/>
      <c r="L540" s="5"/>
      <c r="P540" s="5"/>
      <c r="Q540"/>
      <c r="U540"/>
    </row>
    <row r="541" spans="2:21" x14ac:dyDescent="0.2">
      <c r="B541" s="5"/>
      <c r="F541" s="5"/>
      <c r="G541" s="5"/>
      <c r="K541" s="5"/>
      <c r="L541" s="5"/>
      <c r="P541" s="5"/>
      <c r="Q541"/>
      <c r="U541"/>
    </row>
    <row r="542" spans="2:21" x14ac:dyDescent="0.2">
      <c r="B542" s="5"/>
      <c r="F542" s="5"/>
      <c r="G542" s="5"/>
      <c r="K542" s="5"/>
      <c r="L542" s="5"/>
      <c r="P542" s="5"/>
      <c r="Q542"/>
      <c r="U542"/>
    </row>
    <row r="543" spans="2:21" x14ac:dyDescent="0.2">
      <c r="B543" s="5"/>
      <c r="F543" s="5"/>
      <c r="G543" s="5"/>
      <c r="K543" s="5"/>
      <c r="L543" s="5"/>
      <c r="P543" s="5"/>
      <c r="Q543"/>
      <c r="U543"/>
    </row>
    <row r="544" spans="2:21" x14ac:dyDescent="0.2">
      <c r="B544" s="5"/>
      <c r="F544" s="5"/>
      <c r="G544" s="5"/>
      <c r="K544" s="5"/>
      <c r="L544" s="5"/>
      <c r="P544" s="5"/>
      <c r="Q544"/>
      <c r="U544"/>
    </row>
    <row r="545" spans="2:21" x14ac:dyDescent="0.2">
      <c r="B545" s="5"/>
      <c r="F545" s="5"/>
      <c r="G545" s="5"/>
      <c r="K545" s="5"/>
      <c r="L545" s="5"/>
      <c r="P545" s="5"/>
      <c r="Q545"/>
      <c r="U545"/>
    </row>
    <row r="546" spans="2:21" x14ac:dyDescent="0.2">
      <c r="B546" s="5"/>
      <c r="F546" s="5"/>
      <c r="G546" s="5"/>
      <c r="K546" s="5"/>
      <c r="L546" s="5"/>
      <c r="P546" s="5"/>
      <c r="Q546"/>
      <c r="U546"/>
    </row>
    <row r="547" spans="2:21" x14ac:dyDescent="0.2">
      <c r="B547" s="5"/>
      <c r="F547" s="5"/>
      <c r="G547" s="5"/>
      <c r="K547" s="5"/>
      <c r="L547" s="5"/>
      <c r="P547" s="5"/>
      <c r="Q547"/>
      <c r="U547"/>
    </row>
    <row r="548" spans="2:21" x14ac:dyDescent="0.2">
      <c r="B548" s="5"/>
      <c r="F548" s="5"/>
      <c r="G548" s="5"/>
      <c r="K548" s="5"/>
      <c r="L548" s="5"/>
      <c r="P548" s="5"/>
      <c r="Q548"/>
      <c r="U548"/>
    </row>
    <row r="549" spans="2:21" x14ac:dyDescent="0.2">
      <c r="B549" s="5"/>
      <c r="F549" s="5"/>
      <c r="G549" s="5"/>
      <c r="K549" s="5"/>
      <c r="L549" s="5"/>
      <c r="P549" s="5"/>
      <c r="Q549"/>
      <c r="U549"/>
    </row>
    <row r="550" spans="2:21" x14ac:dyDescent="0.2">
      <c r="B550" s="5"/>
      <c r="F550" s="5"/>
      <c r="G550" s="5"/>
      <c r="K550" s="5"/>
      <c r="L550" s="5"/>
      <c r="P550" s="5"/>
      <c r="Q550"/>
      <c r="U550"/>
    </row>
    <row r="551" spans="2:21" x14ac:dyDescent="0.2">
      <c r="B551" s="5"/>
      <c r="F551" s="5"/>
      <c r="G551" s="5"/>
      <c r="K551" s="5"/>
      <c r="L551" s="5"/>
      <c r="P551" s="5"/>
      <c r="Q551"/>
      <c r="U551"/>
    </row>
    <row r="552" spans="2:21" x14ac:dyDescent="0.2">
      <c r="B552" s="5"/>
      <c r="F552" s="5"/>
      <c r="G552" s="5"/>
      <c r="K552" s="5"/>
      <c r="L552" s="5"/>
      <c r="P552" s="5"/>
      <c r="Q552"/>
      <c r="U552"/>
    </row>
    <row r="553" spans="2:21" x14ac:dyDescent="0.2">
      <c r="B553" s="5"/>
      <c r="F553" s="5"/>
      <c r="G553" s="5"/>
      <c r="K553" s="5"/>
      <c r="L553" s="5"/>
      <c r="P553" s="5"/>
      <c r="Q553"/>
      <c r="U553"/>
    </row>
    <row r="554" spans="2:21" x14ac:dyDescent="0.2">
      <c r="B554" s="5"/>
      <c r="F554" s="5"/>
      <c r="G554" s="5"/>
      <c r="K554" s="5"/>
      <c r="L554" s="5"/>
      <c r="P554" s="5"/>
      <c r="Q554"/>
      <c r="U554"/>
    </row>
    <row r="555" spans="2:21" x14ac:dyDescent="0.2">
      <c r="B555" s="5"/>
      <c r="F555" s="5"/>
      <c r="G555" s="5"/>
      <c r="K555" s="5"/>
      <c r="L555" s="5"/>
      <c r="P555" s="5"/>
      <c r="Q555"/>
      <c r="U555"/>
    </row>
    <row r="556" spans="2:21" x14ac:dyDescent="0.2">
      <c r="B556" s="5"/>
      <c r="F556" s="5"/>
      <c r="G556" s="5"/>
      <c r="K556" s="5"/>
      <c r="L556" s="5"/>
      <c r="P556" s="5"/>
      <c r="Q556"/>
      <c r="U556"/>
    </row>
    <row r="557" spans="2:21" x14ac:dyDescent="0.2">
      <c r="B557" s="5"/>
      <c r="F557" s="5"/>
      <c r="G557" s="5"/>
      <c r="K557" s="5"/>
      <c r="L557" s="5"/>
      <c r="P557" s="5"/>
      <c r="Q557"/>
      <c r="U557"/>
    </row>
    <row r="558" spans="2:21" x14ac:dyDescent="0.2">
      <c r="B558" s="5"/>
      <c r="F558" s="5"/>
      <c r="G558" s="5"/>
      <c r="K558" s="5"/>
      <c r="L558" s="5"/>
      <c r="P558" s="5"/>
      <c r="Q558"/>
      <c r="U558"/>
    </row>
    <row r="559" spans="2:21" x14ac:dyDescent="0.2">
      <c r="B559" s="5"/>
      <c r="F559" s="5"/>
      <c r="G559" s="5"/>
      <c r="K559" s="5"/>
      <c r="L559" s="5"/>
      <c r="P559" s="5"/>
      <c r="Q559"/>
      <c r="U559"/>
    </row>
    <row r="560" spans="2:21" x14ac:dyDescent="0.2">
      <c r="B560" s="5"/>
      <c r="F560" s="5"/>
      <c r="G560" s="5"/>
      <c r="K560" s="5"/>
      <c r="L560" s="5"/>
      <c r="P560" s="5"/>
      <c r="Q560"/>
      <c r="U560"/>
    </row>
    <row r="561" spans="2:21" x14ac:dyDescent="0.2">
      <c r="B561" s="5"/>
      <c r="F561" s="5"/>
      <c r="G561" s="5"/>
      <c r="K561" s="5"/>
      <c r="L561" s="5"/>
      <c r="P561" s="5"/>
      <c r="Q561"/>
      <c r="U561"/>
    </row>
    <row r="562" spans="2:21" x14ac:dyDescent="0.2">
      <c r="B562" s="5"/>
      <c r="F562" s="5"/>
      <c r="G562" s="5"/>
      <c r="K562" s="5"/>
      <c r="L562" s="5"/>
      <c r="P562" s="5"/>
      <c r="Q562"/>
      <c r="U562"/>
    </row>
    <row r="563" spans="2:21" x14ac:dyDescent="0.2">
      <c r="B563" s="5"/>
      <c r="F563" s="5"/>
      <c r="G563" s="5"/>
      <c r="K563" s="5"/>
      <c r="L563" s="5"/>
      <c r="P563" s="5"/>
      <c r="Q563"/>
      <c r="U563"/>
    </row>
    <row r="564" spans="2:21" x14ac:dyDescent="0.2">
      <c r="B564" s="5"/>
      <c r="F564" s="5"/>
      <c r="G564" s="5"/>
      <c r="K564" s="5"/>
      <c r="L564" s="5"/>
      <c r="P564" s="5"/>
      <c r="Q564"/>
      <c r="U564"/>
    </row>
    <row r="565" spans="2:21" x14ac:dyDescent="0.2">
      <c r="B565" s="5"/>
      <c r="F565" s="5"/>
      <c r="G565" s="5"/>
      <c r="K565" s="5"/>
      <c r="L565" s="5"/>
      <c r="P565" s="5"/>
      <c r="Q565"/>
      <c r="U565"/>
    </row>
    <row r="566" spans="2:21" x14ac:dyDescent="0.2">
      <c r="B566" s="5"/>
      <c r="F566" s="5"/>
      <c r="G566" s="5"/>
      <c r="K566" s="5"/>
      <c r="L566" s="5"/>
      <c r="P566" s="5"/>
      <c r="Q566"/>
      <c r="U566"/>
    </row>
    <row r="567" spans="2:21" x14ac:dyDescent="0.2">
      <c r="B567" s="5"/>
      <c r="F567" s="5"/>
      <c r="G567" s="5"/>
      <c r="K567" s="5"/>
      <c r="L567" s="5"/>
      <c r="P567" s="5"/>
      <c r="Q567"/>
      <c r="U567"/>
    </row>
    <row r="568" spans="2:21" x14ac:dyDescent="0.2">
      <c r="B568" s="5"/>
      <c r="F568" s="5"/>
      <c r="G568" s="5"/>
      <c r="K568" s="5"/>
      <c r="L568" s="5"/>
      <c r="P568" s="5"/>
      <c r="Q568"/>
      <c r="U568"/>
    </row>
    <row r="569" spans="2:21" x14ac:dyDescent="0.2">
      <c r="B569" s="5"/>
      <c r="F569" s="5"/>
      <c r="G569" s="5"/>
      <c r="K569" s="5"/>
      <c r="L569" s="5"/>
      <c r="P569" s="5"/>
      <c r="Q569"/>
      <c r="U569"/>
    </row>
    <row r="570" spans="2:21" x14ac:dyDescent="0.2">
      <c r="B570" s="5"/>
      <c r="F570" s="5"/>
      <c r="G570" s="5"/>
      <c r="K570" s="5"/>
      <c r="L570" s="5"/>
      <c r="P570" s="5"/>
      <c r="Q570"/>
      <c r="U570"/>
    </row>
    <row r="571" spans="2:21" x14ac:dyDescent="0.2">
      <c r="B571" s="5"/>
      <c r="F571" s="5"/>
      <c r="G571" s="5"/>
      <c r="K571" s="5"/>
      <c r="L571" s="5"/>
      <c r="P571" s="5"/>
      <c r="Q571"/>
      <c r="U571"/>
    </row>
    <row r="572" spans="2:21" x14ac:dyDescent="0.2">
      <c r="B572" s="5"/>
      <c r="F572" s="5"/>
      <c r="G572" s="5"/>
      <c r="K572" s="5"/>
      <c r="L572" s="5"/>
      <c r="P572" s="5"/>
      <c r="Q572"/>
      <c r="U572"/>
    </row>
    <row r="573" spans="2:21" x14ac:dyDescent="0.2">
      <c r="B573" s="5"/>
      <c r="F573" s="5"/>
      <c r="G573" s="5"/>
      <c r="K573" s="5"/>
      <c r="L573" s="5"/>
      <c r="P573" s="5"/>
      <c r="Q573"/>
      <c r="U573"/>
    </row>
    <row r="574" spans="2:21" x14ac:dyDescent="0.2">
      <c r="B574" s="5"/>
      <c r="F574" s="5"/>
      <c r="G574" s="5"/>
      <c r="K574" s="5"/>
      <c r="L574" s="5"/>
      <c r="P574" s="5"/>
      <c r="Q574"/>
      <c r="U574"/>
    </row>
    <row r="575" spans="2:21" x14ac:dyDescent="0.2">
      <c r="B575" s="5"/>
      <c r="F575" s="5"/>
      <c r="G575" s="5"/>
      <c r="K575" s="5"/>
      <c r="L575" s="5"/>
      <c r="P575" s="5"/>
      <c r="Q575"/>
      <c r="U575"/>
    </row>
    <row r="576" spans="2:21" x14ac:dyDescent="0.2">
      <c r="B576" s="5"/>
      <c r="F576" s="5"/>
      <c r="G576" s="5"/>
      <c r="K576" s="5"/>
      <c r="L576" s="5"/>
      <c r="P576" s="5"/>
      <c r="Q576"/>
      <c r="U576"/>
    </row>
    <row r="577" spans="2:21" x14ac:dyDescent="0.2">
      <c r="B577" s="5"/>
      <c r="F577" s="5"/>
      <c r="G577" s="5"/>
      <c r="K577" s="5"/>
      <c r="L577" s="5"/>
      <c r="P577" s="5"/>
      <c r="Q577"/>
      <c r="U577"/>
    </row>
    <row r="578" spans="2:21" x14ac:dyDescent="0.2">
      <c r="B578" s="5"/>
      <c r="F578" s="5"/>
      <c r="G578" s="5"/>
      <c r="K578" s="5"/>
      <c r="L578" s="5"/>
      <c r="P578" s="5"/>
      <c r="Q578"/>
      <c r="U578"/>
    </row>
    <row r="579" spans="2:21" x14ac:dyDescent="0.2">
      <c r="B579" s="5"/>
      <c r="F579" s="5"/>
      <c r="G579" s="5"/>
      <c r="K579" s="5"/>
      <c r="L579" s="5"/>
      <c r="P579" s="5"/>
      <c r="Q579"/>
      <c r="U579"/>
    </row>
    <row r="580" spans="2:21" x14ac:dyDescent="0.2">
      <c r="B580" s="5"/>
      <c r="F580" s="5"/>
      <c r="G580" s="5"/>
      <c r="K580" s="5"/>
      <c r="L580" s="5"/>
      <c r="P580" s="5"/>
      <c r="Q580"/>
      <c r="U580"/>
    </row>
    <row r="581" spans="2:21" x14ac:dyDescent="0.2">
      <c r="B581" s="5"/>
      <c r="F581" s="5"/>
      <c r="G581" s="5"/>
      <c r="K581" s="5"/>
      <c r="L581" s="5"/>
      <c r="P581" s="5"/>
      <c r="Q581"/>
      <c r="U581"/>
    </row>
    <row r="582" spans="2:21" x14ac:dyDescent="0.2">
      <c r="B582" s="5"/>
      <c r="F582" s="5"/>
      <c r="G582" s="5"/>
      <c r="K582" s="5"/>
      <c r="L582" s="5"/>
      <c r="P582" s="5"/>
      <c r="Q582"/>
      <c r="U582"/>
    </row>
    <row r="583" spans="2:21" x14ac:dyDescent="0.2">
      <c r="B583" s="5"/>
      <c r="F583" s="5"/>
      <c r="G583" s="5"/>
      <c r="K583" s="5"/>
      <c r="L583" s="5"/>
      <c r="P583" s="5"/>
      <c r="Q583"/>
      <c r="U583"/>
    </row>
    <row r="584" spans="2:21" x14ac:dyDescent="0.2">
      <c r="B584" s="5"/>
      <c r="F584" s="5"/>
      <c r="G584" s="5"/>
      <c r="K584" s="5"/>
      <c r="L584" s="5"/>
      <c r="P584" s="5"/>
      <c r="Q584"/>
      <c r="U584"/>
    </row>
    <row r="585" spans="2:21" x14ac:dyDescent="0.2">
      <c r="B585" s="5"/>
      <c r="F585" s="5"/>
      <c r="G585" s="5"/>
      <c r="K585" s="5"/>
      <c r="L585" s="5"/>
      <c r="P585" s="5"/>
      <c r="Q585"/>
      <c r="U585"/>
    </row>
    <row r="586" spans="2:21" x14ac:dyDescent="0.2">
      <c r="B586" s="5"/>
      <c r="F586" s="5"/>
      <c r="G586" s="5"/>
      <c r="K586" s="5"/>
      <c r="L586" s="5"/>
      <c r="P586" s="5"/>
      <c r="Q586"/>
      <c r="U586"/>
    </row>
    <row r="587" spans="2:21" x14ac:dyDescent="0.2">
      <c r="B587" s="5"/>
      <c r="F587" s="5"/>
      <c r="G587" s="5"/>
      <c r="K587" s="5"/>
      <c r="L587" s="5"/>
      <c r="P587" s="5"/>
      <c r="Q587"/>
      <c r="U587"/>
    </row>
    <row r="588" spans="2:21" x14ac:dyDescent="0.2">
      <c r="B588" s="5"/>
      <c r="F588" s="5"/>
      <c r="G588" s="5"/>
      <c r="K588" s="5"/>
      <c r="L588" s="5"/>
      <c r="P588" s="5"/>
      <c r="Q588"/>
      <c r="U588"/>
    </row>
    <row r="589" spans="2:21" x14ac:dyDescent="0.2">
      <c r="B589" s="5"/>
      <c r="F589" s="5"/>
      <c r="G589" s="5"/>
      <c r="K589" s="5"/>
      <c r="L589" s="5"/>
      <c r="P589" s="5"/>
      <c r="Q589"/>
      <c r="U589"/>
    </row>
    <row r="590" spans="2:21" x14ac:dyDescent="0.2">
      <c r="B590" s="5"/>
      <c r="F590" s="5"/>
      <c r="G590" s="5"/>
      <c r="K590" s="5"/>
      <c r="L590" s="5"/>
      <c r="P590" s="5"/>
      <c r="Q590"/>
      <c r="U590"/>
    </row>
    <row r="591" spans="2:21" x14ac:dyDescent="0.2">
      <c r="B591" s="5"/>
      <c r="F591" s="5"/>
      <c r="G591" s="5"/>
      <c r="K591" s="5"/>
      <c r="L591" s="5"/>
      <c r="P591" s="5"/>
      <c r="Q591"/>
      <c r="U591"/>
    </row>
    <row r="592" spans="2:21" x14ac:dyDescent="0.2">
      <c r="B592" s="5"/>
      <c r="F592" s="5"/>
      <c r="G592" s="5"/>
      <c r="K592" s="5"/>
      <c r="L592" s="5"/>
      <c r="P592" s="5"/>
      <c r="Q592"/>
      <c r="U592"/>
    </row>
    <row r="593" spans="2:21" x14ac:dyDescent="0.2">
      <c r="B593" s="5"/>
      <c r="F593" s="5"/>
      <c r="G593" s="5"/>
      <c r="K593" s="5"/>
      <c r="L593" s="5"/>
      <c r="P593" s="5"/>
      <c r="Q593"/>
      <c r="U593"/>
    </row>
    <row r="594" spans="2:21" x14ac:dyDescent="0.2">
      <c r="B594" s="5"/>
      <c r="F594" s="5"/>
      <c r="G594" s="5"/>
      <c r="K594" s="5"/>
      <c r="L594" s="5"/>
      <c r="P594" s="5"/>
      <c r="Q594"/>
      <c r="U594"/>
    </row>
    <row r="595" spans="2:21" x14ac:dyDescent="0.2">
      <c r="B595" s="5"/>
      <c r="F595" s="5"/>
      <c r="G595" s="5"/>
      <c r="K595" s="5"/>
      <c r="L595" s="5"/>
      <c r="P595" s="5"/>
      <c r="Q595"/>
      <c r="U595"/>
    </row>
    <row r="596" spans="2:21" x14ac:dyDescent="0.2">
      <c r="B596" s="5"/>
      <c r="F596" s="5"/>
      <c r="G596" s="5"/>
      <c r="K596" s="5"/>
      <c r="L596" s="5"/>
      <c r="P596" s="5"/>
      <c r="Q596"/>
      <c r="U596"/>
    </row>
    <row r="597" spans="2:21" x14ac:dyDescent="0.2">
      <c r="B597" s="5"/>
      <c r="F597" s="5"/>
      <c r="G597" s="5"/>
      <c r="K597" s="5"/>
      <c r="L597" s="5"/>
      <c r="P597" s="5"/>
      <c r="Q597"/>
      <c r="U597"/>
    </row>
    <row r="598" spans="2:21" x14ac:dyDescent="0.2">
      <c r="B598" s="5"/>
      <c r="F598" s="5"/>
      <c r="G598" s="5"/>
      <c r="K598" s="5"/>
      <c r="L598" s="5"/>
      <c r="P598" s="5"/>
      <c r="Q598"/>
      <c r="U598"/>
    </row>
    <row r="599" spans="2:21" x14ac:dyDescent="0.2">
      <c r="B599" s="5"/>
      <c r="F599" s="5"/>
      <c r="G599" s="5"/>
      <c r="K599" s="5"/>
      <c r="L599" s="5"/>
      <c r="P599" s="5"/>
      <c r="Q599"/>
      <c r="U599"/>
    </row>
    <row r="600" spans="2:21" x14ac:dyDescent="0.2">
      <c r="B600" s="5"/>
      <c r="F600" s="5"/>
      <c r="G600" s="5"/>
      <c r="K600" s="5"/>
      <c r="L600" s="5"/>
      <c r="P600" s="5"/>
      <c r="Q600"/>
      <c r="U600"/>
    </row>
    <row r="601" spans="2:21" x14ac:dyDescent="0.2">
      <c r="B601" s="5"/>
      <c r="F601" s="5"/>
      <c r="G601" s="5"/>
      <c r="K601" s="5"/>
      <c r="L601" s="5"/>
      <c r="P601" s="5"/>
      <c r="Q601"/>
      <c r="U601"/>
    </row>
    <row r="602" spans="2:21" x14ac:dyDescent="0.2">
      <c r="B602" s="5"/>
      <c r="F602" s="5"/>
      <c r="G602" s="5"/>
      <c r="K602" s="5"/>
      <c r="L602" s="5"/>
      <c r="P602" s="5"/>
      <c r="Q602"/>
      <c r="U602"/>
    </row>
    <row r="603" spans="2:21" x14ac:dyDescent="0.2">
      <c r="B603" s="5"/>
      <c r="F603" s="5"/>
      <c r="G603" s="5"/>
      <c r="K603" s="5"/>
      <c r="L603" s="5"/>
      <c r="P603" s="5"/>
      <c r="Q603"/>
      <c r="U603"/>
    </row>
    <row r="604" spans="2:21" x14ac:dyDescent="0.2">
      <c r="B604" s="5"/>
      <c r="F604" s="5"/>
      <c r="G604" s="5"/>
      <c r="K604" s="5"/>
      <c r="L604" s="5"/>
      <c r="P604" s="5"/>
      <c r="Q604"/>
      <c r="U604"/>
    </row>
    <row r="605" spans="2:21" x14ac:dyDescent="0.2">
      <c r="B605" s="5"/>
      <c r="F605" s="5"/>
      <c r="G605" s="5"/>
      <c r="K605" s="5"/>
      <c r="L605" s="5"/>
      <c r="P605" s="5"/>
      <c r="Q605"/>
      <c r="U605"/>
    </row>
    <row r="606" spans="2:21" x14ac:dyDescent="0.2">
      <c r="B606" s="5"/>
      <c r="F606" s="5"/>
      <c r="G606" s="5"/>
      <c r="K606" s="5"/>
      <c r="L606" s="5"/>
      <c r="P606" s="5"/>
      <c r="Q606"/>
      <c r="U606"/>
    </row>
    <row r="607" spans="2:21" x14ac:dyDescent="0.2">
      <c r="B607" s="5"/>
      <c r="F607" s="5"/>
      <c r="G607" s="5"/>
      <c r="K607" s="5"/>
      <c r="L607" s="5"/>
      <c r="P607" s="5"/>
      <c r="Q607"/>
      <c r="U607"/>
    </row>
    <row r="608" spans="2:21" x14ac:dyDescent="0.2">
      <c r="B608" s="5"/>
      <c r="F608" s="5"/>
      <c r="G608" s="5"/>
      <c r="K608" s="5"/>
      <c r="L608" s="5"/>
      <c r="P608" s="5"/>
      <c r="Q608"/>
      <c r="U608"/>
    </row>
    <row r="609" spans="2:21" x14ac:dyDescent="0.2">
      <c r="B609" s="5"/>
      <c r="F609" s="5"/>
      <c r="G609" s="5"/>
      <c r="K609" s="5"/>
      <c r="L609" s="5"/>
      <c r="P609" s="5"/>
      <c r="Q609"/>
      <c r="U609"/>
    </row>
    <row r="610" spans="2:21" x14ac:dyDescent="0.2">
      <c r="B610" s="5"/>
      <c r="F610" s="5"/>
      <c r="G610" s="5"/>
      <c r="K610" s="5"/>
      <c r="L610" s="5"/>
      <c r="P610" s="5"/>
      <c r="Q610"/>
      <c r="U610"/>
    </row>
    <row r="611" spans="2:21" x14ac:dyDescent="0.2">
      <c r="B611" s="5"/>
      <c r="F611" s="5"/>
      <c r="G611" s="5"/>
      <c r="K611" s="5"/>
      <c r="L611" s="5"/>
      <c r="P611" s="5"/>
      <c r="Q611"/>
      <c r="U611"/>
    </row>
    <row r="612" spans="2:21" x14ac:dyDescent="0.2">
      <c r="B612" s="5"/>
      <c r="F612" s="5"/>
      <c r="G612" s="5"/>
      <c r="K612" s="5"/>
      <c r="L612" s="5"/>
      <c r="P612" s="5"/>
      <c r="Q612"/>
      <c r="U612"/>
    </row>
    <row r="613" spans="2:21" x14ac:dyDescent="0.2">
      <c r="B613" s="5"/>
      <c r="F613" s="5"/>
      <c r="G613" s="5"/>
      <c r="K613" s="5"/>
      <c r="L613" s="5"/>
      <c r="P613" s="5"/>
      <c r="Q613"/>
      <c r="U613"/>
    </row>
    <row r="614" spans="2:21" x14ac:dyDescent="0.2">
      <c r="B614" s="5"/>
      <c r="F614" s="5"/>
      <c r="G614" s="5"/>
      <c r="K614" s="5"/>
      <c r="L614" s="5"/>
      <c r="P614" s="5"/>
      <c r="Q614"/>
      <c r="U614"/>
    </row>
    <row r="615" spans="2:21" x14ac:dyDescent="0.2">
      <c r="B615" s="5"/>
      <c r="F615" s="5"/>
      <c r="G615" s="5"/>
      <c r="K615" s="5"/>
      <c r="L615" s="5"/>
      <c r="P615" s="5"/>
      <c r="Q615"/>
      <c r="U615"/>
    </row>
    <row r="616" spans="2:21" x14ac:dyDescent="0.2">
      <c r="B616" s="5"/>
      <c r="F616" s="5"/>
      <c r="G616" s="5"/>
      <c r="K616" s="5"/>
      <c r="L616" s="5"/>
      <c r="P616" s="5"/>
      <c r="Q616"/>
      <c r="U616"/>
    </row>
    <row r="617" spans="2:21" x14ac:dyDescent="0.2">
      <c r="B617" s="5"/>
      <c r="F617" s="5"/>
      <c r="G617" s="5"/>
      <c r="K617" s="5"/>
      <c r="L617" s="5"/>
      <c r="P617" s="5"/>
      <c r="Q617"/>
      <c r="U617"/>
    </row>
    <row r="618" spans="2:21" x14ac:dyDescent="0.2">
      <c r="B618" s="5"/>
      <c r="F618" s="5"/>
      <c r="G618" s="5"/>
      <c r="K618" s="5"/>
      <c r="L618" s="5"/>
      <c r="P618" s="5"/>
      <c r="Q618"/>
      <c r="U618"/>
    </row>
    <row r="619" spans="2:21" x14ac:dyDescent="0.2">
      <c r="B619" s="5"/>
      <c r="F619" s="5"/>
      <c r="G619" s="5"/>
      <c r="K619" s="5"/>
      <c r="L619" s="5"/>
      <c r="P619" s="5"/>
      <c r="Q619"/>
      <c r="U619"/>
    </row>
    <row r="620" spans="2:21" x14ac:dyDescent="0.2">
      <c r="B620" s="5"/>
      <c r="F620" s="5"/>
      <c r="G620" s="5"/>
      <c r="K620" s="5"/>
      <c r="L620" s="5"/>
      <c r="P620" s="5"/>
      <c r="Q620"/>
      <c r="U620"/>
    </row>
    <row r="621" spans="2:21" x14ac:dyDescent="0.2">
      <c r="B621" s="5"/>
      <c r="F621" s="5"/>
      <c r="G621" s="5"/>
      <c r="K621" s="5"/>
      <c r="L621" s="5"/>
      <c r="P621" s="5"/>
      <c r="Q621"/>
      <c r="U621"/>
    </row>
    <row r="622" spans="2:21" x14ac:dyDescent="0.2">
      <c r="B622" s="5"/>
      <c r="F622" s="5"/>
      <c r="G622" s="5"/>
      <c r="K622" s="5"/>
      <c r="L622" s="5"/>
      <c r="P622" s="5"/>
      <c r="Q622"/>
      <c r="U622"/>
    </row>
    <row r="623" spans="2:21" x14ac:dyDescent="0.2">
      <c r="B623" s="5"/>
      <c r="F623" s="5"/>
      <c r="G623" s="5"/>
      <c r="K623" s="5"/>
      <c r="L623" s="5"/>
      <c r="P623" s="5"/>
      <c r="Q623"/>
      <c r="U623"/>
    </row>
    <row r="624" spans="2:21" x14ac:dyDescent="0.2">
      <c r="B624" s="5"/>
      <c r="F624" s="5"/>
      <c r="G624" s="5"/>
      <c r="K624" s="5"/>
      <c r="L624" s="5"/>
      <c r="P624" s="5"/>
      <c r="Q624"/>
      <c r="U624"/>
    </row>
    <row r="625" spans="2:21" x14ac:dyDescent="0.2">
      <c r="B625" s="5"/>
      <c r="F625" s="5"/>
      <c r="G625" s="5"/>
      <c r="K625" s="5"/>
      <c r="L625" s="5"/>
      <c r="P625" s="5"/>
      <c r="Q625"/>
      <c r="U625"/>
    </row>
    <row r="626" spans="2:21" x14ac:dyDescent="0.2">
      <c r="B626" s="5"/>
      <c r="F626" s="5"/>
      <c r="G626" s="5"/>
      <c r="K626" s="5"/>
      <c r="L626" s="5"/>
      <c r="P626" s="5"/>
      <c r="Q626"/>
      <c r="U626"/>
    </row>
    <row r="627" spans="2:21" x14ac:dyDescent="0.2">
      <c r="B627" s="5"/>
      <c r="F627" s="5"/>
      <c r="G627" s="5"/>
      <c r="K627" s="5"/>
      <c r="L627" s="5"/>
      <c r="P627" s="5"/>
      <c r="Q627"/>
      <c r="U627"/>
    </row>
    <row r="628" spans="2:21" x14ac:dyDescent="0.2">
      <c r="B628" s="5"/>
      <c r="F628" s="5"/>
      <c r="G628" s="5"/>
      <c r="K628" s="5"/>
      <c r="L628" s="5"/>
      <c r="P628" s="5"/>
      <c r="Q628"/>
      <c r="U628"/>
    </row>
    <row r="629" spans="2:21" x14ac:dyDescent="0.2">
      <c r="B629" s="5"/>
      <c r="F629" s="5"/>
      <c r="G629" s="5"/>
      <c r="K629" s="5"/>
      <c r="L629" s="5"/>
      <c r="P629" s="5"/>
      <c r="Q629"/>
      <c r="U629"/>
    </row>
    <row r="630" spans="2:21" x14ac:dyDescent="0.2">
      <c r="B630" s="5"/>
      <c r="F630" s="5"/>
      <c r="G630" s="5"/>
      <c r="K630" s="5"/>
      <c r="L630" s="5"/>
      <c r="P630" s="5"/>
      <c r="Q630"/>
      <c r="U630"/>
    </row>
    <row r="631" spans="2:21" x14ac:dyDescent="0.2">
      <c r="B631" s="5"/>
      <c r="F631" s="5"/>
      <c r="G631" s="5"/>
      <c r="K631" s="5"/>
      <c r="L631" s="5"/>
      <c r="P631" s="5"/>
      <c r="Q631"/>
      <c r="U631"/>
    </row>
    <row r="632" spans="2:21" x14ac:dyDescent="0.2">
      <c r="B632" s="5"/>
      <c r="F632" s="5"/>
      <c r="G632" s="5"/>
      <c r="K632" s="5"/>
      <c r="L632" s="5"/>
      <c r="P632" s="5"/>
      <c r="Q632"/>
      <c r="U632"/>
    </row>
    <row r="633" spans="2:21" x14ac:dyDescent="0.2">
      <c r="B633" s="5"/>
      <c r="F633" s="5"/>
      <c r="G633" s="5"/>
      <c r="K633" s="5"/>
      <c r="L633" s="5"/>
      <c r="P633" s="5"/>
      <c r="Q633"/>
      <c r="U633"/>
    </row>
    <row r="634" spans="2:21" x14ac:dyDescent="0.2">
      <c r="B634" s="5"/>
      <c r="F634" s="5"/>
      <c r="G634" s="5"/>
      <c r="K634" s="5"/>
      <c r="L634" s="5"/>
      <c r="P634" s="5"/>
      <c r="Q634"/>
      <c r="U634"/>
    </row>
    <row r="635" spans="2:21" x14ac:dyDescent="0.2">
      <c r="B635" s="5"/>
      <c r="F635" s="5"/>
      <c r="G635" s="5"/>
      <c r="K635" s="5"/>
      <c r="L635" s="5"/>
      <c r="P635" s="5"/>
      <c r="Q635"/>
      <c r="U635"/>
    </row>
    <row r="636" spans="2:21" x14ac:dyDescent="0.2">
      <c r="B636" s="5"/>
      <c r="F636" s="5"/>
      <c r="G636" s="5"/>
      <c r="K636" s="5"/>
      <c r="L636" s="5"/>
      <c r="P636" s="5"/>
      <c r="Q636"/>
      <c r="U636"/>
    </row>
    <row r="637" spans="2:21" x14ac:dyDescent="0.2">
      <c r="B637" s="5"/>
      <c r="F637" s="5"/>
      <c r="G637" s="5"/>
      <c r="K637" s="5"/>
      <c r="L637" s="5"/>
      <c r="P637" s="5"/>
      <c r="Q637"/>
      <c r="U637"/>
    </row>
    <row r="638" spans="2:21" x14ac:dyDescent="0.2">
      <c r="B638" s="5"/>
      <c r="F638" s="5"/>
      <c r="G638" s="5"/>
      <c r="K638" s="5"/>
      <c r="L638" s="5"/>
      <c r="P638" s="5"/>
      <c r="Q638"/>
      <c r="U638"/>
    </row>
    <row r="639" spans="2:21" x14ac:dyDescent="0.2">
      <c r="B639" s="5"/>
      <c r="F639" s="5"/>
      <c r="G639" s="5"/>
      <c r="K639" s="5"/>
      <c r="L639" s="5"/>
      <c r="P639" s="5"/>
      <c r="Q639"/>
      <c r="U639"/>
    </row>
    <row r="640" spans="2:21" x14ac:dyDescent="0.2">
      <c r="B640" s="5"/>
      <c r="F640" s="5"/>
      <c r="G640" s="5"/>
      <c r="K640" s="5"/>
      <c r="L640" s="5"/>
      <c r="P640" s="5"/>
      <c r="Q640"/>
      <c r="U640"/>
    </row>
    <row r="641" spans="2:21" x14ac:dyDescent="0.2">
      <c r="B641" s="5"/>
      <c r="F641" s="5"/>
      <c r="G641" s="5"/>
      <c r="K641" s="5"/>
      <c r="L641" s="5"/>
      <c r="P641" s="5"/>
      <c r="Q641"/>
      <c r="U641"/>
    </row>
    <row r="642" spans="2:21" x14ac:dyDescent="0.2">
      <c r="B642" s="5"/>
      <c r="F642" s="5"/>
      <c r="G642" s="5"/>
      <c r="K642" s="5"/>
      <c r="L642" s="5"/>
      <c r="P642" s="5"/>
      <c r="Q642"/>
      <c r="U642"/>
    </row>
    <row r="643" spans="2:21" x14ac:dyDescent="0.2">
      <c r="B643" s="5"/>
      <c r="F643" s="5"/>
      <c r="G643" s="5"/>
      <c r="K643" s="5"/>
      <c r="L643" s="5"/>
      <c r="P643" s="5"/>
      <c r="Q643"/>
      <c r="U643"/>
    </row>
    <row r="644" spans="2:21" x14ac:dyDescent="0.2">
      <c r="B644" s="5"/>
      <c r="F644" s="5"/>
      <c r="G644" s="5"/>
      <c r="K644" s="5"/>
      <c r="L644" s="5"/>
      <c r="P644" s="5"/>
      <c r="Q644"/>
      <c r="U644"/>
    </row>
    <row r="645" spans="2:21" x14ac:dyDescent="0.2">
      <c r="B645" s="5"/>
      <c r="F645" s="5"/>
      <c r="G645" s="5"/>
      <c r="K645" s="5"/>
      <c r="L645" s="5"/>
      <c r="P645" s="5"/>
      <c r="Q645"/>
      <c r="U645"/>
    </row>
    <row r="646" spans="2:21" x14ac:dyDescent="0.2">
      <c r="B646" s="5"/>
      <c r="F646" s="5"/>
      <c r="G646" s="5"/>
      <c r="K646" s="5"/>
      <c r="L646" s="5"/>
      <c r="P646" s="5"/>
      <c r="Q646"/>
      <c r="U646"/>
    </row>
    <row r="647" spans="2:21" x14ac:dyDescent="0.2">
      <c r="B647" s="5"/>
      <c r="F647" s="5"/>
      <c r="G647" s="5"/>
      <c r="K647" s="5"/>
      <c r="L647" s="5"/>
      <c r="P647" s="5"/>
      <c r="Q647"/>
      <c r="U647"/>
    </row>
    <row r="648" spans="2:21" x14ac:dyDescent="0.2">
      <c r="B648" s="5"/>
      <c r="F648" s="5"/>
      <c r="G648" s="5"/>
      <c r="K648" s="5"/>
      <c r="L648" s="5"/>
      <c r="P648" s="5"/>
      <c r="Q648"/>
      <c r="U648"/>
    </row>
    <row r="649" spans="2:21" x14ac:dyDescent="0.2">
      <c r="B649" s="5"/>
      <c r="F649" s="5"/>
      <c r="G649" s="5"/>
      <c r="K649" s="5"/>
      <c r="L649" s="5"/>
      <c r="P649" s="5"/>
      <c r="Q649"/>
      <c r="U649"/>
    </row>
    <row r="650" spans="2:21" x14ac:dyDescent="0.2">
      <c r="B650" s="5"/>
      <c r="F650" s="5"/>
      <c r="G650" s="5"/>
      <c r="K650" s="5"/>
      <c r="L650" s="5"/>
      <c r="P650" s="5"/>
      <c r="Q650"/>
      <c r="U650"/>
    </row>
    <row r="651" spans="2:21" x14ac:dyDescent="0.2">
      <c r="B651" s="5"/>
      <c r="F651" s="5"/>
      <c r="G651" s="5"/>
      <c r="K651" s="5"/>
      <c r="L651" s="5"/>
      <c r="P651" s="5"/>
      <c r="Q651"/>
      <c r="U651"/>
    </row>
    <row r="652" spans="2:21" x14ac:dyDescent="0.2">
      <c r="B652" s="5"/>
      <c r="F652" s="5"/>
      <c r="G652" s="5"/>
      <c r="K652" s="5"/>
      <c r="L652" s="5"/>
      <c r="P652" s="5"/>
      <c r="Q652"/>
      <c r="U652"/>
    </row>
    <row r="653" spans="2:21" x14ac:dyDescent="0.2">
      <c r="B653" s="5"/>
      <c r="F653" s="5"/>
      <c r="G653" s="5"/>
      <c r="K653" s="5"/>
      <c r="L653" s="5"/>
      <c r="P653" s="5"/>
      <c r="Q653"/>
      <c r="U653"/>
    </row>
    <row r="654" spans="2:21" x14ac:dyDescent="0.2">
      <c r="B654" s="5"/>
      <c r="F654" s="5"/>
      <c r="G654" s="5"/>
      <c r="K654" s="5"/>
      <c r="L654" s="5"/>
      <c r="P654" s="5"/>
      <c r="Q654"/>
      <c r="U654"/>
    </row>
    <row r="655" spans="2:21" x14ac:dyDescent="0.2">
      <c r="B655" s="5"/>
      <c r="F655" s="5"/>
      <c r="G655" s="5"/>
      <c r="K655" s="5"/>
      <c r="L655" s="5"/>
      <c r="P655" s="5"/>
      <c r="Q655"/>
      <c r="U655"/>
    </row>
    <row r="656" spans="2:21" x14ac:dyDescent="0.2">
      <c r="B656" s="5"/>
      <c r="F656" s="5"/>
      <c r="G656" s="5"/>
      <c r="K656" s="5"/>
      <c r="L656" s="5"/>
      <c r="P656" s="5"/>
      <c r="Q656"/>
      <c r="U656"/>
    </row>
    <row r="657" spans="2:21" x14ac:dyDescent="0.2">
      <c r="B657" s="5"/>
      <c r="F657" s="5"/>
      <c r="G657" s="5"/>
      <c r="K657" s="5"/>
      <c r="L657" s="5"/>
      <c r="P657" s="5"/>
      <c r="Q657"/>
      <c r="U657"/>
    </row>
    <row r="658" spans="2:21" x14ac:dyDescent="0.2">
      <c r="B658" s="5"/>
      <c r="F658" s="5"/>
      <c r="G658" s="5"/>
      <c r="K658" s="5"/>
      <c r="L658" s="5"/>
      <c r="P658" s="5"/>
      <c r="Q658"/>
      <c r="U658"/>
    </row>
    <row r="659" spans="2:21" x14ac:dyDescent="0.2">
      <c r="B659" s="5"/>
      <c r="F659" s="5"/>
      <c r="G659" s="5"/>
      <c r="K659" s="5"/>
      <c r="L659" s="5"/>
      <c r="P659" s="5"/>
      <c r="Q659"/>
      <c r="U659"/>
    </row>
    <row r="660" spans="2:21" x14ac:dyDescent="0.2">
      <c r="B660" s="5"/>
      <c r="F660" s="5"/>
      <c r="G660" s="5"/>
      <c r="K660" s="5"/>
      <c r="L660" s="5"/>
      <c r="P660" s="5"/>
      <c r="Q660"/>
      <c r="U660"/>
    </row>
    <row r="661" spans="2:21" x14ac:dyDescent="0.2">
      <c r="B661" s="5"/>
      <c r="F661" s="5"/>
      <c r="G661" s="5"/>
      <c r="K661" s="5"/>
      <c r="L661" s="5"/>
      <c r="P661" s="5"/>
      <c r="Q661"/>
      <c r="U661"/>
    </row>
    <row r="662" spans="2:21" x14ac:dyDescent="0.2">
      <c r="B662" s="5"/>
      <c r="F662" s="5"/>
      <c r="G662" s="5"/>
      <c r="K662" s="5"/>
      <c r="L662" s="5"/>
      <c r="P662" s="5"/>
      <c r="Q662"/>
      <c r="U662"/>
    </row>
    <row r="663" spans="2:21" x14ac:dyDescent="0.2">
      <c r="B663" s="5"/>
      <c r="F663" s="5"/>
      <c r="G663" s="5"/>
      <c r="K663" s="5"/>
      <c r="L663" s="5"/>
      <c r="P663" s="5"/>
      <c r="Q663"/>
      <c r="U663"/>
    </row>
    <row r="664" spans="2:21" x14ac:dyDescent="0.2">
      <c r="B664" s="5"/>
      <c r="F664" s="5"/>
      <c r="G664" s="5"/>
      <c r="K664" s="5"/>
      <c r="L664" s="5"/>
      <c r="P664" s="5"/>
      <c r="Q664"/>
      <c r="U664"/>
    </row>
    <row r="665" spans="2:21" x14ac:dyDescent="0.2">
      <c r="B665" s="5"/>
      <c r="F665" s="5"/>
      <c r="G665" s="5"/>
      <c r="K665" s="5"/>
      <c r="L665" s="5"/>
      <c r="P665" s="5"/>
      <c r="Q665"/>
      <c r="U665"/>
    </row>
    <row r="666" spans="2:21" x14ac:dyDescent="0.2">
      <c r="B666" s="5"/>
      <c r="F666" s="5"/>
      <c r="G666" s="5"/>
      <c r="K666" s="5"/>
      <c r="L666" s="5"/>
      <c r="P666" s="5"/>
      <c r="Q666"/>
      <c r="U666"/>
    </row>
    <row r="667" spans="2:21" x14ac:dyDescent="0.2">
      <c r="B667" s="5"/>
      <c r="F667" s="5"/>
      <c r="G667" s="5"/>
      <c r="K667" s="5"/>
      <c r="L667" s="5"/>
      <c r="P667" s="5"/>
      <c r="Q667"/>
      <c r="U667"/>
    </row>
    <row r="668" spans="2:21" x14ac:dyDescent="0.2">
      <c r="B668" s="5"/>
      <c r="F668" s="5"/>
      <c r="G668" s="5"/>
      <c r="K668" s="5"/>
      <c r="L668" s="5"/>
      <c r="P668" s="5"/>
      <c r="Q668"/>
      <c r="U668"/>
    </row>
    <row r="669" spans="2:21" x14ac:dyDescent="0.2">
      <c r="B669" s="5"/>
      <c r="F669" s="5"/>
      <c r="G669" s="5"/>
      <c r="K669" s="5"/>
      <c r="L669" s="5"/>
      <c r="P669" s="5"/>
      <c r="Q669"/>
      <c r="U669"/>
    </row>
    <row r="670" spans="2:21" x14ac:dyDescent="0.2">
      <c r="B670" s="5"/>
      <c r="F670" s="5"/>
      <c r="G670" s="5"/>
      <c r="K670" s="5"/>
      <c r="L670" s="5"/>
      <c r="P670" s="5"/>
      <c r="Q670"/>
      <c r="U670"/>
    </row>
    <row r="671" spans="2:21" x14ac:dyDescent="0.2">
      <c r="B671" s="5"/>
      <c r="F671" s="5"/>
      <c r="G671" s="5"/>
      <c r="K671" s="5"/>
      <c r="L671" s="5"/>
      <c r="P671" s="5"/>
      <c r="Q671"/>
      <c r="U671"/>
    </row>
    <row r="672" spans="2:21" x14ac:dyDescent="0.2">
      <c r="B672" s="5"/>
      <c r="F672" s="5"/>
      <c r="G672" s="5"/>
      <c r="K672" s="5"/>
      <c r="L672" s="5"/>
      <c r="P672" s="5"/>
      <c r="Q672"/>
      <c r="U672"/>
    </row>
    <row r="673" spans="2:21" x14ac:dyDescent="0.2">
      <c r="B673" s="5"/>
      <c r="F673" s="5"/>
      <c r="G673" s="5"/>
      <c r="K673" s="5"/>
      <c r="L673" s="5"/>
      <c r="P673" s="5"/>
      <c r="Q673"/>
      <c r="U673"/>
    </row>
    <row r="674" spans="2:21" x14ac:dyDescent="0.2">
      <c r="B674" s="5"/>
      <c r="F674" s="5"/>
      <c r="G674" s="5"/>
      <c r="K674" s="5"/>
      <c r="L674" s="5"/>
      <c r="P674" s="5"/>
      <c r="Q674"/>
      <c r="U674"/>
    </row>
    <row r="675" spans="2:21" x14ac:dyDescent="0.2">
      <c r="B675" s="5"/>
      <c r="F675" s="5"/>
      <c r="G675" s="5"/>
      <c r="K675" s="5"/>
      <c r="L675" s="5"/>
      <c r="P675" s="5"/>
      <c r="Q675"/>
      <c r="U675"/>
    </row>
    <row r="676" spans="2:21" x14ac:dyDescent="0.2">
      <c r="B676" s="5"/>
      <c r="F676" s="5"/>
      <c r="G676" s="5"/>
      <c r="K676" s="5"/>
      <c r="L676" s="5"/>
      <c r="P676" s="5"/>
      <c r="Q676"/>
      <c r="U676"/>
    </row>
    <row r="677" spans="2:21" x14ac:dyDescent="0.2">
      <c r="B677" s="5"/>
      <c r="F677" s="5"/>
      <c r="G677" s="5"/>
      <c r="K677" s="5"/>
      <c r="L677" s="5"/>
      <c r="P677" s="5"/>
      <c r="Q677"/>
      <c r="U677"/>
    </row>
    <row r="678" spans="2:21" x14ac:dyDescent="0.2">
      <c r="B678" s="5"/>
      <c r="F678" s="5"/>
      <c r="G678" s="5"/>
      <c r="K678" s="5"/>
      <c r="L678" s="5"/>
      <c r="P678" s="5"/>
      <c r="Q678"/>
      <c r="U678"/>
    </row>
    <row r="679" spans="2:21" x14ac:dyDescent="0.2">
      <c r="B679" s="5"/>
      <c r="F679" s="5"/>
      <c r="G679" s="5"/>
      <c r="K679" s="5"/>
      <c r="L679" s="5"/>
      <c r="P679" s="5"/>
      <c r="Q679"/>
      <c r="U679"/>
    </row>
    <row r="680" spans="2:21" x14ac:dyDescent="0.2">
      <c r="B680" s="5"/>
      <c r="F680" s="5"/>
      <c r="G680" s="5"/>
      <c r="K680" s="5"/>
      <c r="L680" s="5"/>
      <c r="P680" s="5"/>
      <c r="Q680"/>
      <c r="U680"/>
    </row>
    <row r="681" spans="2:21" x14ac:dyDescent="0.2">
      <c r="B681" s="5"/>
      <c r="F681" s="5"/>
      <c r="G681" s="5"/>
      <c r="K681" s="5"/>
      <c r="L681" s="5"/>
      <c r="P681" s="5"/>
      <c r="Q681"/>
      <c r="U681"/>
    </row>
    <row r="682" spans="2:21" x14ac:dyDescent="0.2">
      <c r="B682" s="5"/>
      <c r="F682" s="5"/>
      <c r="G682" s="5"/>
      <c r="K682" s="5"/>
      <c r="L682" s="5"/>
      <c r="P682" s="5"/>
      <c r="Q682"/>
      <c r="U682"/>
    </row>
    <row r="683" spans="2:21" x14ac:dyDescent="0.2">
      <c r="B683" s="5"/>
      <c r="F683" s="5"/>
      <c r="G683" s="5"/>
      <c r="K683" s="5"/>
      <c r="L683" s="5"/>
      <c r="P683" s="5"/>
      <c r="Q683"/>
      <c r="U683"/>
    </row>
    <row r="684" spans="2:21" x14ac:dyDescent="0.2">
      <c r="B684" s="5"/>
      <c r="F684" s="5"/>
      <c r="G684" s="5"/>
      <c r="K684" s="5"/>
      <c r="L684" s="5"/>
      <c r="P684" s="5"/>
      <c r="Q684"/>
      <c r="U684"/>
    </row>
    <row r="685" spans="2:21" x14ac:dyDescent="0.2">
      <c r="B685" s="5"/>
      <c r="F685" s="5"/>
      <c r="G685" s="5"/>
      <c r="K685" s="5"/>
      <c r="L685" s="5"/>
      <c r="P685" s="5"/>
      <c r="Q685"/>
      <c r="U685"/>
    </row>
    <row r="686" spans="2:21" x14ac:dyDescent="0.2">
      <c r="B686" s="5"/>
      <c r="F686" s="5"/>
      <c r="G686" s="5"/>
      <c r="K686" s="5"/>
      <c r="L686" s="5"/>
      <c r="P686" s="5"/>
      <c r="Q686"/>
      <c r="U686"/>
    </row>
    <row r="687" spans="2:21" x14ac:dyDescent="0.2">
      <c r="B687" s="5"/>
      <c r="F687" s="5"/>
      <c r="G687" s="5"/>
      <c r="K687" s="5"/>
      <c r="L687" s="5"/>
      <c r="P687" s="5"/>
      <c r="Q687"/>
      <c r="U687"/>
    </row>
    <row r="688" spans="2:21" x14ac:dyDescent="0.2">
      <c r="B688" s="5"/>
      <c r="F688" s="5"/>
      <c r="G688" s="5"/>
      <c r="K688" s="5"/>
      <c r="L688" s="5"/>
      <c r="P688" s="5"/>
      <c r="Q688"/>
      <c r="U688"/>
    </row>
    <row r="689" spans="2:21" x14ac:dyDescent="0.2">
      <c r="B689" s="5"/>
      <c r="F689" s="5"/>
      <c r="G689" s="5"/>
      <c r="K689" s="5"/>
      <c r="L689" s="5"/>
      <c r="P689" s="5"/>
      <c r="Q689"/>
      <c r="U689"/>
    </row>
    <row r="690" spans="2:21" x14ac:dyDescent="0.2">
      <c r="B690" s="5"/>
      <c r="F690" s="5"/>
      <c r="G690" s="5"/>
      <c r="K690" s="5"/>
      <c r="L690" s="5"/>
      <c r="P690" s="5"/>
      <c r="Q690"/>
      <c r="U690"/>
    </row>
    <row r="691" spans="2:21" x14ac:dyDescent="0.2">
      <c r="B691" s="5"/>
      <c r="F691" s="5"/>
      <c r="G691" s="5"/>
      <c r="K691" s="5"/>
      <c r="L691" s="5"/>
      <c r="P691" s="5"/>
      <c r="Q691"/>
      <c r="U691"/>
    </row>
    <row r="692" spans="2:21" x14ac:dyDescent="0.2">
      <c r="B692" s="5"/>
      <c r="F692" s="5"/>
      <c r="G692" s="5"/>
      <c r="K692" s="5"/>
      <c r="L692" s="5"/>
      <c r="P692" s="5"/>
      <c r="Q692"/>
      <c r="U692"/>
    </row>
    <row r="693" spans="2:21" x14ac:dyDescent="0.2">
      <c r="B693" s="5"/>
      <c r="F693" s="5"/>
      <c r="G693" s="5"/>
      <c r="K693" s="5"/>
      <c r="L693" s="5"/>
      <c r="P693" s="5"/>
      <c r="Q693"/>
      <c r="U693"/>
    </row>
    <row r="694" spans="2:21" x14ac:dyDescent="0.2">
      <c r="B694" s="5"/>
      <c r="F694" s="5"/>
      <c r="G694" s="5"/>
      <c r="K694" s="5"/>
      <c r="L694" s="5"/>
      <c r="P694" s="5"/>
      <c r="Q694"/>
      <c r="U694"/>
    </row>
    <row r="695" spans="2:21" x14ac:dyDescent="0.2">
      <c r="B695" s="5"/>
      <c r="F695" s="5"/>
      <c r="G695" s="5"/>
      <c r="K695" s="5"/>
      <c r="L695" s="5"/>
      <c r="P695" s="5"/>
      <c r="Q695"/>
      <c r="U695"/>
    </row>
    <row r="696" spans="2:21" x14ac:dyDescent="0.2">
      <c r="B696" s="5"/>
      <c r="F696" s="5"/>
      <c r="G696" s="5"/>
      <c r="K696" s="5"/>
      <c r="L696" s="5"/>
      <c r="P696" s="5"/>
      <c r="Q696"/>
      <c r="U696"/>
    </row>
    <row r="697" spans="2:21" x14ac:dyDescent="0.2">
      <c r="B697" s="5"/>
      <c r="F697" s="5"/>
      <c r="G697" s="5"/>
      <c r="K697" s="5"/>
      <c r="L697" s="5"/>
      <c r="P697" s="5"/>
      <c r="Q697"/>
      <c r="U697"/>
    </row>
    <row r="698" spans="2:21" x14ac:dyDescent="0.2">
      <c r="B698" s="5"/>
      <c r="F698" s="5"/>
      <c r="G698" s="5"/>
      <c r="K698" s="5"/>
      <c r="L698" s="5"/>
      <c r="P698" s="5"/>
      <c r="Q698"/>
      <c r="U698"/>
    </row>
    <row r="699" spans="2:21" x14ac:dyDescent="0.2">
      <c r="B699" s="5"/>
      <c r="F699" s="5"/>
      <c r="G699" s="5"/>
      <c r="K699" s="5"/>
      <c r="L699" s="5"/>
      <c r="P699" s="5"/>
      <c r="Q699"/>
      <c r="U699"/>
    </row>
    <row r="700" spans="2:21" x14ac:dyDescent="0.2">
      <c r="B700" s="5"/>
      <c r="F700" s="5"/>
      <c r="G700" s="5"/>
      <c r="K700" s="5"/>
      <c r="L700" s="5"/>
      <c r="P700" s="5"/>
      <c r="Q700"/>
      <c r="U700"/>
    </row>
    <row r="701" spans="2:21" x14ac:dyDescent="0.2">
      <c r="B701" s="5"/>
      <c r="F701" s="5"/>
      <c r="G701" s="5"/>
      <c r="K701" s="5"/>
      <c r="L701" s="5"/>
      <c r="P701" s="5"/>
      <c r="Q701"/>
      <c r="U701"/>
    </row>
    <row r="702" spans="2:21" x14ac:dyDescent="0.2">
      <c r="B702" s="5"/>
      <c r="F702" s="5"/>
      <c r="G702" s="5"/>
      <c r="K702" s="5"/>
      <c r="L702" s="5"/>
      <c r="P702" s="5"/>
      <c r="Q702"/>
      <c r="U702"/>
    </row>
    <row r="703" spans="2:21" x14ac:dyDescent="0.2">
      <c r="B703" s="5"/>
      <c r="F703" s="5"/>
      <c r="G703" s="5"/>
      <c r="K703" s="5"/>
      <c r="L703" s="5"/>
      <c r="P703" s="5"/>
      <c r="Q703"/>
      <c r="U703"/>
    </row>
    <row r="704" spans="2:21" x14ac:dyDescent="0.2">
      <c r="B704" s="5"/>
      <c r="F704" s="5"/>
      <c r="G704" s="5"/>
      <c r="K704" s="5"/>
      <c r="L704" s="5"/>
      <c r="P704" s="5"/>
      <c r="Q704"/>
      <c r="U704"/>
    </row>
    <row r="705" spans="2:21" x14ac:dyDescent="0.2">
      <c r="B705" s="5"/>
      <c r="F705" s="5"/>
      <c r="G705" s="5"/>
      <c r="K705" s="5"/>
      <c r="L705" s="5"/>
      <c r="P705" s="5"/>
      <c r="Q705"/>
      <c r="U705"/>
    </row>
    <row r="706" spans="2:21" x14ac:dyDescent="0.2">
      <c r="B706" s="5"/>
      <c r="F706" s="5"/>
      <c r="G706" s="5"/>
      <c r="K706" s="5"/>
      <c r="L706" s="5"/>
      <c r="P706" s="5"/>
      <c r="Q706"/>
      <c r="U706"/>
    </row>
    <row r="707" spans="2:21" x14ac:dyDescent="0.2">
      <c r="B707" s="5"/>
      <c r="F707" s="5"/>
      <c r="G707" s="5"/>
      <c r="K707" s="5"/>
      <c r="L707" s="5"/>
      <c r="P707" s="5"/>
      <c r="Q707"/>
      <c r="U707"/>
    </row>
    <row r="708" spans="2:21" x14ac:dyDescent="0.2">
      <c r="B708" s="5"/>
      <c r="F708" s="5"/>
      <c r="G708" s="5"/>
      <c r="K708" s="5"/>
      <c r="L708" s="5"/>
      <c r="P708" s="5"/>
      <c r="Q708"/>
      <c r="U708"/>
    </row>
    <row r="709" spans="2:21" x14ac:dyDescent="0.2">
      <c r="B709" s="5"/>
      <c r="F709" s="5"/>
      <c r="G709" s="5"/>
      <c r="K709" s="5"/>
      <c r="L709" s="5"/>
      <c r="P709" s="5"/>
      <c r="Q709"/>
      <c r="U709"/>
    </row>
    <row r="710" spans="2:21" x14ac:dyDescent="0.2">
      <c r="B710" s="5"/>
      <c r="F710" s="5"/>
      <c r="G710" s="5"/>
      <c r="K710" s="5"/>
      <c r="L710" s="5"/>
      <c r="P710" s="5"/>
      <c r="Q710"/>
      <c r="U710"/>
    </row>
    <row r="711" spans="2:21" x14ac:dyDescent="0.2">
      <c r="B711" s="5"/>
      <c r="F711" s="5"/>
      <c r="G711" s="5"/>
      <c r="K711" s="5"/>
      <c r="L711" s="5"/>
      <c r="P711" s="5"/>
      <c r="Q711"/>
      <c r="U711"/>
    </row>
    <row r="712" spans="2:21" x14ac:dyDescent="0.2">
      <c r="B712" s="5"/>
      <c r="F712" s="5"/>
      <c r="G712" s="5"/>
      <c r="K712" s="5"/>
      <c r="L712" s="5"/>
      <c r="P712" s="5"/>
      <c r="Q712"/>
      <c r="U712"/>
    </row>
    <row r="713" spans="2:21" x14ac:dyDescent="0.2">
      <c r="B713" s="5"/>
      <c r="F713" s="5"/>
      <c r="G713" s="5"/>
      <c r="K713" s="5"/>
      <c r="L713" s="5"/>
      <c r="P713" s="5"/>
      <c r="Q713"/>
      <c r="U713"/>
    </row>
    <row r="714" spans="2:21" x14ac:dyDescent="0.2">
      <c r="B714" s="5"/>
      <c r="F714" s="5"/>
      <c r="G714" s="5"/>
      <c r="K714" s="5"/>
      <c r="L714" s="5"/>
      <c r="P714" s="5"/>
      <c r="Q714"/>
      <c r="U714"/>
    </row>
    <row r="715" spans="2:21" x14ac:dyDescent="0.2">
      <c r="B715" s="5"/>
      <c r="F715" s="5"/>
      <c r="G715" s="5"/>
      <c r="K715" s="5"/>
      <c r="L715" s="5"/>
      <c r="P715" s="5"/>
      <c r="Q715"/>
      <c r="U715"/>
    </row>
    <row r="716" spans="2:21" x14ac:dyDescent="0.2">
      <c r="B716" s="5"/>
      <c r="F716" s="5"/>
      <c r="G716" s="5"/>
      <c r="K716" s="5"/>
      <c r="L716" s="5"/>
      <c r="P716" s="5"/>
      <c r="Q716"/>
      <c r="U716"/>
    </row>
    <row r="717" spans="2:21" x14ac:dyDescent="0.2">
      <c r="B717" s="5"/>
      <c r="F717" s="5"/>
      <c r="G717" s="5"/>
      <c r="K717" s="5"/>
      <c r="L717" s="5"/>
      <c r="P717" s="5"/>
      <c r="Q717"/>
      <c r="U717"/>
    </row>
    <row r="718" spans="2:21" x14ac:dyDescent="0.2">
      <c r="B718" s="5"/>
      <c r="F718" s="5"/>
      <c r="G718" s="5"/>
      <c r="K718" s="5"/>
      <c r="L718" s="5"/>
      <c r="P718" s="5"/>
      <c r="Q718"/>
      <c r="U718"/>
    </row>
    <row r="719" spans="2:21" x14ac:dyDescent="0.2">
      <c r="B719" s="5"/>
      <c r="F719" s="5"/>
      <c r="G719" s="5"/>
      <c r="K719" s="5"/>
      <c r="L719" s="5"/>
      <c r="P719" s="5"/>
      <c r="Q719"/>
      <c r="U719"/>
    </row>
    <row r="720" spans="2:21" x14ac:dyDescent="0.2">
      <c r="B720" s="5"/>
      <c r="F720" s="5"/>
      <c r="G720" s="5"/>
      <c r="K720" s="5"/>
      <c r="L720" s="5"/>
      <c r="P720" s="5"/>
      <c r="Q720"/>
      <c r="U720"/>
    </row>
    <row r="721" spans="2:21" x14ac:dyDescent="0.2">
      <c r="B721" s="5"/>
      <c r="F721" s="5"/>
      <c r="G721" s="5"/>
      <c r="K721" s="5"/>
      <c r="L721" s="5"/>
      <c r="P721" s="5"/>
      <c r="Q721"/>
      <c r="U721"/>
    </row>
    <row r="722" spans="2:21" x14ac:dyDescent="0.2">
      <c r="B722" s="5"/>
      <c r="F722" s="5"/>
      <c r="G722" s="5"/>
      <c r="K722" s="5"/>
      <c r="L722" s="5"/>
      <c r="P722" s="5"/>
      <c r="Q722"/>
      <c r="U722"/>
    </row>
    <row r="723" spans="2:21" x14ac:dyDescent="0.2">
      <c r="B723" s="5"/>
      <c r="F723" s="5"/>
      <c r="G723" s="5"/>
      <c r="K723" s="5"/>
      <c r="L723" s="5"/>
      <c r="P723" s="5"/>
      <c r="Q723"/>
      <c r="U723"/>
    </row>
    <row r="724" spans="2:21" x14ac:dyDescent="0.2">
      <c r="B724" s="5"/>
      <c r="F724" s="5"/>
      <c r="G724" s="5"/>
      <c r="K724" s="5"/>
      <c r="L724" s="5"/>
      <c r="P724" s="5"/>
      <c r="Q724"/>
      <c r="U724"/>
    </row>
    <row r="725" spans="2:21" x14ac:dyDescent="0.2">
      <c r="B725" s="5"/>
      <c r="F725" s="5"/>
      <c r="G725" s="5"/>
      <c r="K725" s="5"/>
      <c r="L725" s="5"/>
      <c r="P725" s="5"/>
      <c r="Q725"/>
      <c r="U725"/>
    </row>
    <row r="726" spans="2:21" x14ac:dyDescent="0.2">
      <c r="B726" s="5"/>
      <c r="F726" s="5"/>
      <c r="G726" s="5"/>
      <c r="K726" s="5"/>
      <c r="L726" s="5"/>
      <c r="P726" s="5"/>
      <c r="Q726"/>
      <c r="U726"/>
    </row>
    <row r="727" spans="2:21" x14ac:dyDescent="0.2">
      <c r="B727" s="5"/>
      <c r="F727" s="5"/>
      <c r="G727" s="5"/>
      <c r="K727" s="5"/>
      <c r="L727" s="5"/>
      <c r="P727" s="5"/>
      <c r="Q727"/>
      <c r="U727"/>
    </row>
    <row r="728" spans="2:21" x14ac:dyDescent="0.2">
      <c r="B728" s="5"/>
      <c r="F728" s="5"/>
      <c r="G728" s="5"/>
      <c r="K728" s="5"/>
      <c r="L728" s="5"/>
      <c r="P728" s="5"/>
      <c r="Q728"/>
      <c r="U728"/>
    </row>
    <row r="729" spans="2:21" x14ac:dyDescent="0.2">
      <c r="B729" s="5"/>
      <c r="F729" s="5"/>
      <c r="G729" s="5"/>
      <c r="K729" s="5"/>
      <c r="L729" s="5"/>
      <c r="P729" s="5"/>
      <c r="Q729"/>
      <c r="U729"/>
    </row>
    <row r="730" spans="2:21" x14ac:dyDescent="0.2">
      <c r="B730" s="5"/>
      <c r="F730" s="5"/>
      <c r="G730" s="5"/>
      <c r="K730" s="5"/>
      <c r="L730" s="5"/>
      <c r="P730" s="5"/>
      <c r="Q730"/>
      <c r="U730"/>
    </row>
    <row r="731" spans="2:21" x14ac:dyDescent="0.2">
      <c r="B731" s="5"/>
      <c r="F731" s="5"/>
      <c r="G731" s="5"/>
      <c r="K731" s="5"/>
      <c r="L731" s="5"/>
      <c r="P731" s="5"/>
      <c r="Q731"/>
      <c r="U731"/>
    </row>
    <row r="732" spans="2:21" x14ac:dyDescent="0.2">
      <c r="B732" s="5"/>
      <c r="F732" s="5"/>
      <c r="G732" s="5"/>
      <c r="K732" s="5"/>
      <c r="L732" s="5"/>
      <c r="P732" s="5"/>
      <c r="Q732"/>
      <c r="U732"/>
    </row>
    <row r="733" spans="2:21" x14ac:dyDescent="0.2">
      <c r="B733" s="5"/>
      <c r="F733" s="5"/>
      <c r="G733" s="5"/>
      <c r="K733" s="5"/>
      <c r="L733" s="5"/>
      <c r="P733" s="5"/>
      <c r="Q733"/>
      <c r="U733"/>
    </row>
    <row r="734" spans="2:21" x14ac:dyDescent="0.2">
      <c r="B734" s="5"/>
      <c r="F734" s="5"/>
      <c r="G734" s="5"/>
      <c r="K734" s="5"/>
      <c r="L734" s="5"/>
      <c r="P734" s="5"/>
      <c r="Q734"/>
      <c r="U734"/>
    </row>
    <row r="735" spans="2:21" x14ac:dyDescent="0.2">
      <c r="B735" s="5"/>
      <c r="F735" s="5"/>
      <c r="G735" s="5"/>
      <c r="K735" s="5"/>
      <c r="L735" s="5"/>
      <c r="P735" s="5"/>
      <c r="Q735"/>
      <c r="U735"/>
    </row>
    <row r="736" spans="2:21" x14ac:dyDescent="0.2">
      <c r="B736" s="5"/>
      <c r="F736" s="5"/>
      <c r="G736" s="5"/>
      <c r="K736" s="5"/>
      <c r="L736" s="5"/>
      <c r="P736" s="5"/>
      <c r="Q736"/>
      <c r="U736"/>
    </row>
    <row r="737" spans="2:21" x14ac:dyDescent="0.2">
      <c r="B737" s="5"/>
      <c r="F737" s="5"/>
      <c r="G737" s="5"/>
      <c r="K737" s="5"/>
      <c r="L737" s="5"/>
      <c r="P737" s="5"/>
      <c r="Q737"/>
      <c r="U737"/>
    </row>
    <row r="738" spans="2:21" x14ac:dyDescent="0.2">
      <c r="B738" s="5"/>
      <c r="F738" s="5"/>
      <c r="G738" s="5"/>
      <c r="K738" s="5"/>
      <c r="L738" s="5"/>
      <c r="P738" s="5"/>
      <c r="Q738"/>
      <c r="U738"/>
    </row>
    <row r="739" spans="2:21" x14ac:dyDescent="0.2">
      <c r="B739" s="5"/>
      <c r="F739" s="5"/>
      <c r="G739" s="5"/>
      <c r="K739" s="5"/>
      <c r="L739" s="5"/>
      <c r="P739" s="5"/>
      <c r="Q739"/>
      <c r="U739"/>
    </row>
    <row r="740" spans="2:21" x14ac:dyDescent="0.2">
      <c r="B740" s="5"/>
      <c r="F740" s="5"/>
      <c r="G740" s="5"/>
      <c r="K740" s="5"/>
      <c r="L740" s="5"/>
      <c r="P740" s="5"/>
      <c r="Q740"/>
      <c r="U740"/>
    </row>
    <row r="741" spans="2:21" x14ac:dyDescent="0.2">
      <c r="B741" s="5"/>
      <c r="F741" s="5"/>
      <c r="G741" s="5"/>
      <c r="K741" s="5"/>
      <c r="L741" s="5"/>
      <c r="P741" s="5"/>
      <c r="Q741"/>
      <c r="U741"/>
    </row>
    <row r="742" spans="2:21" x14ac:dyDescent="0.2">
      <c r="B742" s="5"/>
      <c r="F742" s="5"/>
      <c r="G742" s="5"/>
      <c r="K742" s="5"/>
      <c r="L742" s="5"/>
      <c r="P742" s="5"/>
      <c r="Q742"/>
      <c r="U742"/>
    </row>
    <row r="743" spans="2:21" x14ac:dyDescent="0.2">
      <c r="B743" s="5"/>
      <c r="F743" s="5"/>
      <c r="G743" s="5"/>
      <c r="K743" s="5"/>
      <c r="L743" s="5"/>
      <c r="P743" s="5"/>
      <c r="Q743"/>
      <c r="U743"/>
    </row>
    <row r="744" spans="2:21" x14ac:dyDescent="0.2">
      <c r="B744" s="5"/>
      <c r="F744" s="5"/>
      <c r="G744" s="5"/>
      <c r="K744" s="5"/>
      <c r="L744" s="5"/>
      <c r="P744" s="5"/>
      <c r="Q744"/>
      <c r="U744"/>
    </row>
    <row r="745" spans="2:21" x14ac:dyDescent="0.2">
      <c r="B745" s="5"/>
      <c r="F745" s="5"/>
      <c r="G745" s="5"/>
      <c r="K745" s="5"/>
      <c r="L745" s="5"/>
      <c r="P745" s="5"/>
      <c r="Q745"/>
      <c r="U745"/>
    </row>
    <row r="746" spans="2:21" x14ac:dyDescent="0.2">
      <c r="B746" s="5"/>
      <c r="F746" s="5"/>
      <c r="G746" s="5"/>
      <c r="K746" s="5"/>
      <c r="L746" s="5"/>
      <c r="P746" s="5"/>
      <c r="Q746"/>
      <c r="U746"/>
    </row>
    <row r="747" spans="2:21" x14ac:dyDescent="0.2">
      <c r="B747" s="5"/>
      <c r="F747" s="5"/>
      <c r="G747" s="5"/>
      <c r="K747" s="5"/>
      <c r="L747" s="5"/>
      <c r="P747" s="5"/>
      <c r="Q747"/>
      <c r="U747"/>
    </row>
    <row r="748" spans="2:21" x14ac:dyDescent="0.2">
      <c r="B748" s="5"/>
      <c r="F748" s="5"/>
      <c r="G748" s="5"/>
      <c r="K748" s="5"/>
      <c r="L748" s="5"/>
      <c r="P748" s="5"/>
      <c r="Q748"/>
      <c r="U748"/>
    </row>
    <row r="749" spans="2:21" x14ac:dyDescent="0.2">
      <c r="B749" s="5"/>
      <c r="F749" s="5"/>
      <c r="G749" s="5"/>
      <c r="K749" s="5"/>
      <c r="L749" s="5"/>
      <c r="P749" s="5"/>
      <c r="Q749"/>
      <c r="U749"/>
    </row>
    <row r="750" spans="2:21" x14ac:dyDescent="0.2">
      <c r="B750" s="5"/>
      <c r="F750" s="5"/>
      <c r="G750" s="5"/>
      <c r="K750" s="5"/>
      <c r="L750" s="5"/>
      <c r="P750" s="5"/>
      <c r="Q750"/>
      <c r="U750"/>
    </row>
    <row r="751" spans="2:21" x14ac:dyDescent="0.2">
      <c r="B751" s="5"/>
      <c r="F751" s="5"/>
      <c r="G751" s="5"/>
      <c r="K751" s="5"/>
      <c r="L751" s="5"/>
      <c r="P751" s="5"/>
      <c r="Q751"/>
      <c r="U751"/>
    </row>
    <row r="752" spans="2:21" x14ac:dyDescent="0.2">
      <c r="B752" s="5"/>
      <c r="F752" s="5"/>
      <c r="G752" s="5"/>
      <c r="K752" s="5"/>
      <c r="L752" s="5"/>
      <c r="P752" s="5"/>
      <c r="Q752"/>
      <c r="U752"/>
    </row>
    <row r="753" spans="2:21" x14ac:dyDescent="0.2">
      <c r="B753" s="5"/>
      <c r="F753" s="5"/>
      <c r="G753" s="5"/>
      <c r="K753" s="5"/>
      <c r="L753" s="5"/>
      <c r="P753" s="5"/>
      <c r="Q753"/>
      <c r="U753"/>
    </row>
    <row r="754" spans="2:21" x14ac:dyDescent="0.2">
      <c r="B754" s="5"/>
      <c r="F754" s="5"/>
      <c r="G754" s="5"/>
      <c r="K754" s="5"/>
      <c r="L754" s="5"/>
      <c r="P754" s="5"/>
      <c r="Q754"/>
      <c r="U754"/>
    </row>
    <row r="755" spans="2:21" x14ac:dyDescent="0.2">
      <c r="B755" s="5"/>
      <c r="F755" s="5"/>
      <c r="G755" s="5"/>
      <c r="K755" s="5"/>
      <c r="L755" s="5"/>
      <c r="P755" s="5"/>
      <c r="Q755"/>
      <c r="U755"/>
    </row>
    <row r="756" spans="2:21" x14ac:dyDescent="0.2">
      <c r="B756" s="5"/>
      <c r="F756" s="5"/>
      <c r="G756" s="5"/>
      <c r="K756" s="5"/>
      <c r="L756" s="5"/>
      <c r="P756" s="5"/>
      <c r="Q756"/>
      <c r="U756"/>
    </row>
    <row r="757" spans="2:21" x14ac:dyDescent="0.2">
      <c r="B757" s="5"/>
      <c r="F757" s="5"/>
      <c r="G757" s="5"/>
      <c r="K757" s="5"/>
      <c r="L757" s="5"/>
      <c r="P757" s="5"/>
      <c r="Q757"/>
      <c r="U757"/>
    </row>
    <row r="758" spans="2:21" x14ac:dyDescent="0.2">
      <c r="B758" s="5"/>
      <c r="F758" s="5"/>
      <c r="G758" s="5"/>
      <c r="K758" s="5"/>
      <c r="L758" s="5"/>
      <c r="P758" s="5"/>
      <c r="Q758"/>
      <c r="U758"/>
    </row>
    <row r="759" spans="2:21" x14ac:dyDescent="0.2">
      <c r="B759" s="5"/>
      <c r="F759" s="5"/>
      <c r="G759" s="5"/>
      <c r="K759" s="5"/>
      <c r="L759" s="5"/>
      <c r="P759" s="5"/>
      <c r="Q759"/>
      <c r="U759"/>
    </row>
    <row r="760" spans="2:21" x14ac:dyDescent="0.2">
      <c r="B760" s="5"/>
      <c r="F760" s="5"/>
      <c r="G760" s="5"/>
      <c r="K760" s="5"/>
      <c r="L760" s="5"/>
      <c r="P760" s="5"/>
      <c r="Q760"/>
      <c r="U760"/>
    </row>
    <row r="761" spans="2:21" x14ac:dyDescent="0.2">
      <c r="B761" s="5"/>
      <c r="F761" s="5"/>
      <c r="G761" s="5"/>
      <c r="K761" s="5"/>
      <c r="L761" s="5"/>
      <c r="P761" s="5"/>
      <c r="Q761"/>
      <c r="U761"/>
    </row>
    <row r="762" spans="2:21" x14ac:dyDescent="0.2">
      <c r="B762" s="5"/>
      <c r="F762" s="5"/>
      <c r="G762" s="5"/>
      <c r="K762" s="5"/>
      <c r="L762" s="5"/>
      <c r="P762" s="5"/>
      <c r="Q762"/>
      <c r="U762"/>
    </row>
    <row r="763" spans="2:21" x14ac:dyDescent="0.2">
      <c r="B763" s="5"/>
      <c r="F763" s="5"/>
      <c r="G763" s="5"/>
      <c r="K763" s="5"/>
      <c r="L763" s="5"/>
      <c r="P763" s="5"/>
      <c r="Q763"/>
      <c r="U763"/>
    </row>
    <row r="764" spans="2:21" x14ac:dyDescent="0.2">
      <c r="B764" s="5"/>
      <c r="F764" s="5"/>
      <c r="G764" s="5"/>
      <c r="K764" s="5"/>
      <c r="L764" s="5"/>
      <c r="P764" s="5"/>
      <c r="Q764"/>
      <c r="U764"/>
    </row>
    <row r="765" spans="2:21" x14ac:dyDescent="0.2">
      <c r="B765" s="5"/>
      <c r="F765" s="5"/>
      <c r="G765" s="5"/>
      <c r="K765" s="5"/>
      <c r="L765" s="5"/>
      <c r="P765" s="5"/>
      <c r="Q765"/>
      <c r="U765"/>
    </row>
    <row r="766" spans="2:21" x14ac:dyDescent="0.2">
      <c r="B766" s="5"/>
      <c r="F766" s="5"/>
      <c r="G766" s="5"/>
      <c r="K766" s="5"/>
      <c r="L766" s="5"/>
      <c r="P766" s="5"/>
      <c r="Q766"/>
      <c r="U766"/>
    </row>
    <row r="767" spans="2:21" x14ac:dyDescent="0.2">
      <c r="B767" s="5"/>
      <c r="F767" s="5"/>
      <c r="G767" s="5"/>
      <c r="K767" s="5"/>
      <c r="L767" s="5"/>
      <c r="P767" s="5"/>
      <c r="Q767"/>
      <c r="U767"/>
    </row>
    <row r="768" spans="2:21" x14ac:dyDescent="0.2">
      <c r="B768" s="5"/>
      <c r="F768" s="5"/>
      <c r="G768" s="5"/>
      <c r="K768" s="5"/>
      <c r="L768" s="5"/>
      <c r="P768" s="5"/>
      <c r="Q768"/>
      <c r="U768"/>
    </row>
    <row r="769" spans="2:21" x14ac:dyDescent="0.2">
      <c r="B769" s="5"/>
      <c r="F769" s="5"/>
      <c r="G769" s="5"/>
      <c r="K769" s="5"/>
      <c r="L769" s="5"/>
      <c r="P769" s="5"/>
      <c r="Q769"/>
      <c r="U769"/>
    </row>
    <row r="770" spans="2:21" x14ac:dyDescent="0.2">
      <c r="B770" s="5"/>
      <c r="F770" s="5"/>
      <c r="G770" s="5"/>
      <c r="K770" s="5"/>
      <c r="L770" s="5"/>
      <c r="P770" s="5"/>
      <c r="Q770"/>
      <c r="U770"/>
    </row>
    <row r="771" spans="2:21" x14ac:dyDescent="0.2">
      <c r="B771" s="5"/>
      <c r="F771" s="5"/>
      <c r="G771" s="5"/>
      <c r="K771" s="5"/>
      <c r="L771" s="5"/>
      <c r="P771" s="5"/>
      <c r="Q771"/>
      <c r="U771"/>
    </row>
    <row r="772" spans="2:21" x14ac:dyDescent="0.2">
      <c r="B772" s="5"/>
      <c r="F772" s="5"/>
      <c r="G772" s="5"/>
      <c r="K772" s="5"/>
      <c r="L772" s="5"/>
      <c r="P772" s="5"/>
      <c r="Q772"/>
      <c r="U772"/>
    </row>
    <row r="773" spans="2:21" x14ac:dyDescent="0.2">
      <c r="B773" s="5"/>
      <c r="F773" s="5"/>
      <c r="G773" s="5"/>
      <c r="K773" s="5"/>
      <c r="L773" s="5"/>
      <c r="P773" s="5"/>
      <c r="Q773"/>
      <c r="U773"/>
    </row>
    <row r="774" spans="2:21" x14ac:dyDescent="0.2">
      <c r="B774" s="5"/>
      <c r="F774" s="5"/>
      <c r="G774" s="5"/>
      <c r="K774" s="5"/>
      <c r="L774" s="5"/>
      <c r="P774" s="5"/>
      <c r="Q774"/>
      <c r="U774"/>
    </row>
    <row r="775" spans="2:21" x14ac:dyDescent="0.2">
      <c r="B775" s="5"/>
      <c r="F775" s="5"/>
      <c r="G775" s="5"/>
      <c r="K775" s="5"/>
      <c r="L775" s="5"/>
      <c r="P775" s="5"/>
      <c r="Q775"/>
      <c r="U775"/>
    </row>
    <row r="776" spans="2:21" x14ac:dyDescent="0.2">
      <c r="B776" s="5"/>
      <c r="F776" s="5"/>
      <c r="G776" s="5"/>
      <c r="K776" s="5"/>
      <c r="L776" s="5"/>
      <c r="P776" s="5"/>
      <c r="Q776"/>
      <c r="U776"/>
    </row>
    <row r="777" spans="2:21" x14ac:dyDescent="0.2">
      <c r="B777" s="5"/>
      <c r="F777" s="5"/>
      <c r="G777" s="5"/>
      <c r="K777" s="5"/>
      <c r="L777" s="5"/>
      <c r="P777" s="5"/>
      <c r="Q777"/>
      <c r="U777"/>
    </row>
    <row r="778" spans="2:21" x14ac:dyDescent="0.2">
      <c r="B778" s="5"/>
      <c r="F778" s="5"/>
      <c r="G778" s="5"/>
      <c r="K778" s="5"/>
      <c r="L778" s="5"/>
      <c r="P778" s="5"/>
      <c r="Q778"/>
      <c r="U778"/>
    </row>
    <row r="779" spans="2:21" x14ac:dyDescent="0.2">
      <c r="B779" s="5"/>
      <c r="F779" s="5"/>
      <c r="G779" s="5"/>
      <c r="K779" s="5"/>
      <c r="L779" s="5"/>
      <c r="P779" s="5"/>
      <c r="Q779"/>
      <c r="U779"/>
    </row>
    <row r="780" spans="2:21" x14ac:dyDescent="0.2">
      <c r="B780" s="5"/>
      <c r="F780" s="5"/>
      <c r="G780" s="5"/>
      <c r="K780" s="5"/>
      <c r="L780" s="5"/>
      <c r="P780" s="5"/>
      <c r="Q780"/>
      <c r="U780"/>
    </row>
    <row r="781" spans="2:21" x14ac:dyDescent="0.2">
      <c r="B781" s="5"/>
      <c r="F781" s="5"/>
      <c r="G781" s="5"/>
      <c r="K781" s="5"/>
      <c r="L781" s="5"/>
      <c r="P781" s="5"/>
      <c r="Q781"/>
      <c r="U781"/>
    </row>
    <row r="782" spans="2:21" x14ac:dyDescent="0.2">
      <c r="B782" s="5"/>
      <c r="F782" s="5"/>
      <c r="G782" s="5"/>
      <c r="K782" s="5"/>
      <c r="L782" s="5"/>
      <c r="P782" s="5"/>
      <c r="Q782"/>
      <c r="U782"/>
    </row>
    <row r="783" spans="2:21" x14ac:dyDescent="0.2">
      <c r="B783" s="5"/>
      <c r="F783" s="5"/>
      <c r="G783" s="5"/>
      <c r="K783" s="5"/>
      <c r="L783" s="5"/>
      <c r="P783" s="5"/>
      <c r="Q783"/>
      <c r="U783"/>
    </row>
    <row r="784" spans="2:21" x14ac:dyDescent="0.2">
      <c r="B784" s="5"/>
      <c r="F784" s="5"/>
      <c r="G784" s="5"/>
      <c r="K784" s="5"/>
      <c r="L784" s="5"/>
      <c r="P784" s="5"/>
      <c r="Q784"/>
      <c r="U784"/>
    </row>
    <row r="785" spans="2:21" x14ac:dyDescent="0.2">
      <c r="B785" s="5"/>
      <c r="F785" s="5"/>
      <c r="G785" s="5"/>
      <c r="K785" s="5"/>
      <c r="L785" s="5"/>
      <c r="P785" s="5"/>
      <c r="Q785"/>
      <c r="U785"/>
    </row>
    <row r="786" spans="2:21" x14ac:dyDescent="0.2">
      <c r="B786" s="5"/>
      <c r="F786" s="5"/>
      <c r="G786" s="5"/>
      <c r="K786" s="5"/>
      <c r="L786" s="5"/>
      <c r="P786" s="5"/>
      <c r="Q786"/>
      <c r="U786"/>
    </row>
    <row r="787" spans="2:21" x14ac:dyDescent="0.2">
      <c r="B787" s="5"/>
      <c r="F787" s="5"/>
      <c r="G787" s="5"/>
      <c r="K787" s="5"/>
      <c r="L787" s="5"/>
      <c r="P787" s="5"/>
      <c r="Q787"/>
      <c r="U787"/>
    </row>
    <row r="788" spans="2:21" x14ac:dyDescent="0.2">
      <c r="B788" s="5"/>
      <c r="F788" s="5"/>
      <c r="G788" s="5"/>
      <c r="K788" s="5"/>
      <c r="L788" s="5"/>
      <c r="P788" s="5"/>
      <c r="Q788"/>
      <c r="U788"/>
    </row>
    <row r="789" spans="2:21" x14ac:dyDescent="0.2">
      <c r="B789" s="5"/>
      <c r="F789" s="5"/>
      <c r="G789" s="5"/>
      <c r="K789" s="5"/>
      <c r="L789" s="5"/>
      <c r="P789" s="5"/>
      <c r="Q789"/>
      <c r="U789"/>
    </row>
    <row r="790" spans="2:21" x14ac:dyDescent="0.2">
      <c r="B790" s="5"/>
      <c r="F790" s="5"/>
      <c r="G790" s="5"/>
      <c r="K790" s="5"/>
      <c r="L790" s="5"/>
      <c r="P790" s="5"/>
      <c r="Q790"/>
      <c r="U790"/>
    </row>
    <row r="791" spans="2:21" x14ac:dyDescent="0.2">
      <c r="B791" s="5"/>
      <c r="F791" s="5"/>
      <c r="G791" s="5"/>
      <c r="K791" s="5"/>
      <c r="L791" s="5"/>
      <c r="P791" s="5"/>
      <c r="Q791"/>
      <c r="U791"/>
    </row>
    <row r="792" spans="2:21" x14ac:dyDescent="0.2">
      <c r="B792" s="5"/>
      <c r="F792" s="5"/>
      <c r="G792" s="5"/>
      <c r="K792" s="5"/>
      <c r="L792" s="5"/>
      <c r="P792" s="5"/>
      <c r="Q792"/>
      <c r="U792"/>
    </row>
    <row r="793" spans="2:21" x14ac:dyDescent="0.2">
      <c r="B793" s="5"/>
      <c r="F793" s="5"/>
      <c r="G793" s="5"/>
      <c r="K793" s="5"/>
      <c r="L793" s="5"/>
      <c r="P793" s="5"/>
      <c r="Q793"/>
      <c r="U793"/>
    </row>
    <row r="794" spans="2:21" x14ac:dyDescent="0.2">
      <c r="B794" s="5"/>
      <c r="F794" s="5"/>
      <c r="G794" s="5"/>
      <c r="K794" s="5"/>
      <c r="L794" s="5"/>
      <c r="P794" s="5"/>
      <c r="Q794"/>
      <c r="U794"/>
    </row>
    <row r="795" spans="2:21" x14ac:dyDescent="0.2">
      <c r="B795" s="5"/>
      <c r="F795" s="5"/>
      <c r="G795" s="5"/>
      <c r="K795" s="5"/>
      <c r="L795" s="5"/>
      <c r="P795" s="5"/>
      <c r="Q795"/>
      <c r="U795"/>
    </row>
    <row r="796" spans="2:21" x14ac:dyDescent="0.2">
      <c r="B796" s="5"/>
      <c r="F796" s="5"/>
      <c r="G796" s="5"/>
      <c r="K796" s="5"/>
      <c r="L796" s="5"/>
      <c r="P796" s="5"/>
      <c r="Q796"/>
      <c r="U796"/>
    </row>
    <row r="797" spans="2:21" x14ac:dyDescent="0.2">
      <c r="B797" s="5"/>
      <c r="F797" s="5"/>
      <c r="G797" s="5"/>
      <c r="K797" s="5"/>
      <c r="L797" s="5"/>
      <c r="P797" s="5"/>
      <c r="Q797"/>
      <c r="U797"/>
    </row>
    <row r="798" spans="2:21" x14ac:dyDescent="0.2">
      <c r="B798" s="5"/>
      <c r="F798" s="5"/>
      <c r="G798" s="5"/>
      <c r="K798" s="5"/>
      <c r="L798" s="5"/>
      <c r="P798" s="5"/>
      <c r="Q798"/>
      <c r="U798"/>
    </row>
    <row r="799" spans="2:21" x14ac:dyDescent="0.2">
      <c r="B799" s="5"/>
      <c r="F799" s="5"/>
      <c r="G799" s="5"/>
      <c r="K799" s="5"/>
      <c r="L799" s="5"/>
      <c r="P799" s="5"/>
      <c r="Q799"/>
      <c r="U799"/>
    </row>
    <row r="800" spans="2:21" x14ac:dyDescent="0.2">
      <c r="B800" s="5"/>
      <c r="F800" s="5"/>
      <c r="G800" s="5"/>
      <c r="K800" s="5"/>
      <c r="L800" s="5"/>
      <c r="P800" s="5"/>
      <c r="Q800"/>
      <c r="U800"/>
    </row>
    <row r="801" spans="2:21" x14ac:dyDescent="0.2">
      <c r="B801" s="5"/>
      <c r="F801" s="5"/>
      <c r="G801" s="5"/>
      <c r="K801" s="5"/>
      <c r="L801" s="5"/>
      <c r="P801" s="5"/>
      <c r="Q801"/>
      <c r="U801"/>
    </row>
    <row r="802" spans="2:21" x14ac:dyDescent="0.2">
      <c r="B802" s="5"/>
      <c r="F802" s="5"/>
      <c r="G802" s="5"/>
      <c r="K802" s="5"/>
      <c r="L802" s="5"/>
      <c r="P802" s="5"/>
      <c r="Q802"/>
      <c r="U802"/>
    </row>
    <row r="803" spans="2:21" x14ac:dyDescent="0.2">
      <c r="B803" s="5"/>
      <c r="F803" s="5"/>
      <c r="G803" s="5"/>
      <c r="K803" s="5"/>
      <c r="L803" s="5"/>
      <c r="P803" s="5"/>
      <c r="Q803"/>
      <c r="U803"/>
    </row>
    <row r="804" spans="2:21" x14ac:dyDescent="0.2">
      <c r="B804" s="5"/>
      <c r="F804" s="5"/>
      <c r="G804" s="5"/>
      <c r="K804" s="5"/>
      <c r="L804" s="5"/>
      <c r="P804" s="5"/>
      <c r="Q804"/>
      <c r="U804"/>
    </row>
    <row r="805" spans="2:21" x14ac:dyDescent="0.2">
      <c r="B805" s="5"/>
      <c r="F805" s="5"/>
      <c r="G805" s="5"/>
      <c r="K805" s="5"/>
      <c r="L805" s="5"/>
      <c r="P805" s="5"/>
      <c r="Q805"/>
      <c r="U805"/>
    </row>
    <row r="806" spans="2:21" x14ac:dyDescent="0.2">
      <c r="B806" s="5"/>
      <c r="F806" s="5"/>
      <c r="G806" s="5"/>
      <c r="K806" s="5"/>
      <c r="L806" s="5"/>
      <c r="P806" s="5"/>
      <c r="Q806"/>
      <c r="U806"/>
    </row>
    <row r="807" spans="2:21" x14ac:dyDescent="0.2">
      <c r="B807" s="5"/>
      <c r="F807" s="5"/>
      <c r="G807" s="5"/>
      <c r="K807" s="5"/>
      <c r="L807" s="5"/>
      <c r="P807" s="5"/>
      <c r="Q807"/>
      <c r="U807"/>
    </row>
    <row r="808" spans="2:21" x14ac:dyDescent="0.2">
      <c r="B808" s="5"/>
      <c r="F808" s="5"/>
      <c r="G808" s="5"/>
      <c r="K808" s="5"/>
      <c r="L808" s="5"/>
      <c r="P808" s="5"/>
      <c r="Q808"/>
      <c r="U808"/>
    </row>
    <row r="809" spans="2:21" x14ac:dyDescent="0.2">
      <c r="B809" s="5"/>
      <c r="F809" s="5"/>
      <c r="G809" s="5"/>
      <c r="K809" s="5"/>
      <c r="L809" s="5"/>
      <c r="P809" s="5"/>
      <c r="Q809"/>
      <c r="U809"/>
    </row>
    <row r="810" spans="2:21" x14ac:dyDescent="0.2">
      <c r="B810" s="5"/>
      <c r="F810" s="5"/>
      <c r="G810" s="5"/>
      <c r="K810" s="5"/>
      <c r="L810" s="5"/>
      <c r="P810" s="5"/>
      <c r="Q810"/>
      <c r="U810"/>
    </row>
    <row r="811" spans="2:21" x14ac:dyDescent="0.2">
      <c r="B811" s="5"/>
      <c r="F811" s="5"/>
      <c r="G811" s="5"/>
      <c r="K811" s="5"/>
      <c r="L811" s="5"/>
      <c r="P811" s="5"/>
      <c r="Q811"/>
      <c r="U811"/>
    </row>
    <row r="812" spans="2:21" x14ac:dyDescent="0.2">
      <c r="B812" s="5"/>
      <c r="F812" s="5"/>
      <c r="G812" s="5"/>
      <c r="K812" s="5"/>
      <c r="L812" s="5"/>
      <c r="P812" s="5"/>
      <c r="Q812"/>
      <c r="U812"/>
    </row>
    <row r="813" spans="2:21" x14ac:dyDescent="0.2">
      <c r="B813" s="5"/>
      <c r="F813" s="5"/>
      <c r="G813" s="5"/>
      <c r="K813" s="5"/>
      <c r="L813" s="5"/>
      <c r="P813" s="5"/>
      <c r="Q813"/>
      <c r="U813"/>
    </row>
    <row r="814" spans="2:21" x14ac:dyDescent="0.2">
      <c r="B814" s="5"/>
      <c r="F814" s="5"/>
      <c r="G814" s="5"/>
      <c r="K814" s="5"/>
      <c r="L814" s="5"/>
      <c r="P814" s="5"/>
      <c r="Q814"/>
      <c r="U814"/>
    </row>
    <row r="815" spans="2:21" x14ac:dyDescent="0.2">
      <c r="B815" s="5"/>
      <c r="F815" s="5"/>
      <c r="G815" s="5"/>
      <c r="K815" s="5"/>
      <c r="L815" s="5"/>
      <c r="P815" s="5"/>
      <c r="Q815"/>
      <c r="U815"/>
    </row>
    <row r="816" spans="2:21" x14ac:dyDescent="0.2">
      <c r="B816" s="5"/>
      <c r="F816" s="5"/>
      <c r="G816" s="5"/>
      <c r="K816" s="5"/>
      <c r="L816" s="5"/>
      <c r="P816" s="5"/>
      <c r="Q816"/>
      <c r="U816"/>
    </row>
    <row r="817" spans="2:21" x14ac:dyDescent="0.2">
      <c r="B817" s="5"/>
      <c r="F817" s="5"/>
      <c r="G817" s="5"/>
      <c r="K817" s="5"/>
      <c r="L817" s="5"/>
      <c r="P817" s="5"/>
      <c r="Q817"/>
      <c r="U817"/>
    </row>
    <row r="818" spans="2:21" x14ac:dyDescent="0.2">
      <c r="B818" s="5"/>
      <c r="F818" s="5"/>
      <c r="G818" s="5"/>
      <c r="K818" s="5"/>
      <c r="L818" s="5"/>
      <c r="P818" s="5"/>
      <c r="Q818"/>
      <c r="U818"/>
    </row>
    <row r="819" spans="2:21" x14ac:dyDescent="0.2">
      <c r="B819" s="5"/>
      <c r="F819" s="5"/>
      <c r="G819" s="5"/>
      <c r="K819" s="5"/>
      <c r="L819" s="5"/>
      <c r="P819" s="5"/>
      <c r="Q819"/>
      <c r="U819"/>
    </row>
    <row r="820" spans="2:21" x14ac:dyDescent="0.2">
      <c r="B820" s="5"/>
      <c r="F820" s="5"/>
      <c r="G820" s="5"/>
      <c r="K820" s="5"/>
      <c r="L820" s="5"/>
      <c r="P820" s="5"/>
      <c r="Q820"/>
      <c r="U820"/>
    </row>
    <row r="821" spans="2:21" x14ac:dyDescent="0.2">
      <c r="B821" s="5"/>
      <c r="F821" s="5"/>
      <c r="G821" s="5"/>
      <c r="K821" s="5"/>
      <c r="L821" s="5"/>
      <c r="P821" s="5"/>
      <c r="Q821"/>
      <c r="U821"/>
    </row>
    <row r="822" spans="2:21" x14ac:dyDescent="0.2">
      <c r="B822" s="5"/>
      <c r="F822" s="5"/>
      <c r="G822" s="5"/>
      <c r="K822" s="5"/>
      <c r="L822" s="5"/>
      <c r="P822" s="5"/>
      <c r="Q822"/>
      <c r="U822"/>
    </row>
    <row r="823" spans="2:21" x14ac:dyDescent="0.2">
      <c r="B823" s="5"/>
      <c r="F823" s="5"/>
      <c r="G823" s="5"/>
      <c r="K823" s="5"/>
      <c r="L823" s="5"/>
      <c r="P823" s="5"/>
      <c r="Q823"/>
      <c r="U823"/>
    </row>
    <row r="824" spans="2:21" x14ac:dyDescent="0.2">
      <c r="B824" s="5"/>
      <c r="F824" s="5"/>
      <c r="G824" s="5"/>
      <c r="K824" s="5"/>
      <c r="L824" s="5"/>
      <c r="P824" s="5"/>
      <c r="Q824"/>
      <c r="U824"/>
    </row>
    <row r="825" spans="2:21" x14ac:dyDescent="0.2">
      <c r="B825" s="5"/>
      <c r="F825" s="5"/>
      <c r="G825" s="5"/>
      <c r="K825" s="5"/>
      <c r="L825" s="5"/>
      <c r="P825" s="5"/>
      <c r="Q825"/>
      <c r="U825"/>
    </row>
    <row r="826" spans="2:21" x14ac:dyDescent="0.2">
      <c r="B826" s="5"/>
      <c r="F826" s="5"/>
      <c r="G826" s="5"/>
      <c r="K826" s="5"/>
      <c r="L826" s="5"/>
      <c r="P826" s="5"/>
      <c r="Q826"/>
      <c r="U826"/>
    </row>
    <row r="827" spans="2:21" x14ac:dyDescent="0.2">
      <c r="B827" s="5"/>
      <c r="F827" s="5"/>
      <c r="G827" s="5"/>
      <c r="K827" s="5"/>
      <c r="L827" s="5"/>
      <c r="P827" s="5"/>
      <c r="Q827"/>
      <c r="U827"/>
    </row>
    <row r="828" spans="2:21" x14ac:dyDescent="0.2">
      <c r="B828" s="5"/>
      <c r="F828" s="5"/>
      <c r="G828" s="5"/>
      <c r="K828" s="5"/>
      <c r="L828" s="5"/>
      <c r="P828" s="5"/>
      <c r="Q828"/>
      <c r="U828"/>
    </row>
    <row r="829" spans="2:21" x14ac:dyDescent="0.2">
      <c r="B829" s="5"/>
      <c r="F829" s="5"/>
      <c r="G829" s="5"/>
      <c r="K829" s="5"/>
      <c r="L829" s="5"/>
      <c r="P829" s="5"/>
      <c r="Q829"/>
      <c r="U829"/>
    </row>
    <row r="830" spans="2:21" x14ac:dyDescent="0.2">
      <c r="B830" s="5"/>
      <c r="F830" s="5"/>
      <c r="G830" s="5"/>
      <c r="K830" s="5"/>
      <c r="L830" s="5"/>
      <c r="P830" s="5"/>
      <c r="Q830"/>
      <c r="U830"/>
    </row>
    <row r="831" spans="2:21" x14ac:dyDescent="0.2">
      <c r="B831" s="5"/>
      <c r="F831" s="5"/>
      <c r="G831" s="5"/>
      <c r="K831" s="5"/>
      <c r="L831" s="5"/>
      <c r="P831" s="5"/>
      <c r="Q831"/>
      <c r="U831"/>
    </row>
    <row r="832" spans="2:21" x14ac:dyDescent="0.2">
      <c r="B832" s="5"/>
      <c r="F832" s="5"/>
      <c r="G832" s="5"/>
      <c r="K832" s="5"/>
      <c r="L832" s="5"/>
      <c r="P832" s="5"/>
      <c r="Q832"/>
      <c r="U832"/>
    </row>
    <row r="833" spans="2:21" x14ac:dyDescent="0.2">
      <c r="B833" s="5"/>
      <c r="F833" s="5"/>
      <c r="G833" s="5"/>
      <c r="K833" s="5"/>
      <c r="L833" s="5"/>
      <c r="P833" s="5"/>
      <c r="Q833"/>
      <c r="U833"/>
    </row>
    <row r="834" spans="2:21" x14ac:dyDescent="0.2">
      <c r="B834" s="5"/>
      <c r="F834" s="5"/>
      <c r="G834" s="5"/>
      <c r="K834" s="5"/>
      <c r="L834" s="5"/>
      <c r="P834" s="5"/>
      <c r="Q834"/>
      <c r="U834"/>
    </row>
    <row r="835" spans="2:21" x14ac:dyDescent="0.2">
      <c r="B835" s="5"/>
      <c r="F835" s="5"/>
      <c r="G835" s="5"/>
      <c r="K835" s="5"/>
      <c r="L835" s="5"/>
      <c r="P835" s="5"/>
      <c r="Q835"/>
      <c r="U835"/>
    </row>
    <row r="836" spans="2:21" x14ac:dyDescent="0.2">
      <c r="B836" s="5"/>
      <c r="F836" s="5"/>
      <c r="G836" s="5"/>
      <c r="K836" s="5"/>
      <c r="L836" s="5"/>
      <c r="P836" s="5"/>
      <c r="Q836"/>
      <c r="U836"/>
    </row>
    <row r="837" spans="2:21" x14ac:dyDescent="0.2">
      <c r="B837" s="5"/>
      <c r="F837" s="5"/>
      <c r="G837" s="5"/>
      <c r="K837" s="5"/>
      <c r="L837" s="5"/>
      <c r="P837" s="5"/>
      <c r="Q837"/>
      <c r="U837"/>
    </row>
    <row r="838" spans="2:21" x14ac:dyDescent="0.2">
      <c r="B838" s="5"/>
      <c r="F838" s="5"/>
      <c r="G838" s="5"/>
      <c r="K838" s="5"/>
      <c r="L838" s="5"/>
      <c r="P838" s="5"/>
      <c r="Q838"/>
      <c r="U838"/>
    </row>
    <row r="839" spans="2:21" x14ac:dyDescent="0.2">
      <c r="B839" s="5"/>
      <c r="F839" s="5"/>
      <c r="G839" s="5"/>
      <c r="K839" s="5"/>
      <c r="L839" s="5"/>
      <c r="P839" s="5"/>
      <c r="Q839"/>
      <c r="U839"/>
    </row>
    <row r="840" spans="2:21" x14ac:dyDescent="0.2">
      <c r="B840" s="5"/>
      <c r="F840" s="5"/>
      <c r="G840" s="5"/>
      <c r="K840" s="5"/>
      <c r="L840" s="5"/>
      <c r="P840" s="5"/>
      <c r="Q840"/>
      <c r="U840"/>
    </row>
    <row r="841" spans="2:21" x14ac:dyDescent="0.2">
      <c r="B841" s="5"/>
      <c r="F841" s="5"/>
      <c r="G841" s="5"/>
      <c r="K841" s="5"/>
      <c r="L841" s="5"/>
      <c r="P841" s="5"/>
      <c r="Q841"/>
      <c r="U841"/>
    </row>
    <row r="842" spans="2:21" x14ac:dyDescent="0.2">
      <c r="B842" s="5"/>
      <c r="F842" s="5"/>
      <c r="G842" s="5"/>
      <c r="K842" s="5"/>
      <c r="L842" s="5"/>
      <c r="P842" s="5"/>
      <c r="Q842"/>
      <c r="U842"/>
    </row>
    <row r="843" spans="2:21" x14ac:dyDescent="0.2">
      <c r="B843" s="5"/>
      <c r="F843" s="5"/>
      <c r="G843" s="5"/>
      <c r="K843" s="5"/>
      <c r="L843" s="5"/>
      <c r="P843" s="5"/>
      <c r="Q843"/>
      <c r="U843"/>
    </row>
    <row r="844" spans="2:21" x14ac:dyDescent="0.2">
      <c r="B844" s="5"/>
      <c r="F844" s="5"/>
      <c r="G844" s="5"/>
      <c r="K844" s="5"/>
      <c r="L844" s="5"/>
      <c r="P844" s="5"/>
      <c r="Q844"/>
      <c r="U844"/>
    </row>
    <row r="845" spans="2:21" x14ac:dyDescent="0.2">
      <c r="B845" s="5"/>
      <c r="F845" s="5"/>
      <c r="G845" s="5"/>
      <c r="K845" s="5"/>
      <c r="L845" s="5"/>
      <c r="P845" s="5"/>
      <c r="Q845"/>
      <c r="U845"/>
    </row>
    <row r="846" spans="2:21" x14ac:dyDescent="0.2">
      <c r="B846" s="5"/>
      <c r="F846" s="5"/>
      <c r="G846" s="5"/>
      <c r="K846" s="5"/>
      <c r="L846" s="5"/>
      <c r="P846" s="5"/>
      <c r="Q846"/>
      <c r="U846"/>
    </row>
    <row r="847" spans="2:21" x14ac:dyDescent="0.2">
      <c r="B847" s="5"/>
      <c r="F847" s="5"/>
      <c r="G847" s="5"/>
      <c r="K847" s="5"/>
      <c r="L847" s="5"/>
      <c r="P847" s="5"/>
      <c r="Q847"/>
      <c r="U847"/>
    </row>
    <row r="848" spans="2:21" x14ac:dyDescent="0.2">
      <c r="B848" s="5"/>
      <c r="F848" s="5"/>
      <c r="G848" s="5"/>
      <c r="K848" s="5"/>
      <c r="L848" s="5"/>
      <c r="P848" s="5"/>
      <c r="Q848"/>
      <c r="U848"/>
    </row>
    <row r="849" spans="2:21" x14ac:dyDescent="0.2">
      <c r="B849" s="5"/>
      <c r="F849" s="5"/>
      <c r="G849" s="5"/>
      <c r="K849" s="5"/>
      <c r="L849" s="5"/>
      <c r="P849" s="5"/>
      <c r="Q849"/>
      <c r="U849"/>
    </row>
    <row r="850" spans="2:21" x14ac:dyDescent="0.2">
      <c r="B850" s="5"/>
      <c r="F850" s="5"/>
      <c r="G850" s="5"/>
      <c r="K850" s="5"/>
      <c r="L850" s="5"/>
      <c r="P850" s="5"/>
      <c r="Q850"/>
      <c r="U850"/>
    </row>
    <row r="851" spans="2:21" x14ac:dyDescent="0.2">
      <c r="B851" s="5"/>
      <c r="F851" s="5"/>
      <c r="G851" s="5"/>
      <c r="K851" s="5"/>
      <c r="L851" s="5"/>
      <c r="P851" s="5"/>
      <c r="Q851"/>
      <c r="U851"/>
    </row>
    <row r="852" spans="2:21" x14ac:dyDescent="0.2">
      <c r="B852" s="5"/>
      <c r="F852" s="5"/>
      <c r="G852" s="5"/>
      <c r="K852" s="5"/>
      <c r="L852" s="5"/>
      <c r="P852" s="5"/>
      <c r="Q852"/>
      <c r="U852"/>
    </row>
    <row r="853" spans="2:21" x14ac:dyDescent="0.2">
      <c r="B853" s="5"/>
      <c r="F853" s="5"/>
      <c r="G853" s="5"/>
      <c r="K853" s="5"/>
      <c r="L853" s="5"/>
      <c r="P853" s="5"/>
      <c r="Q853"/>
      <c r="U853"/>
    </row>
    <row r="854" spans="2:21" x14ac:dyDescent="0.2">
      <c r="B854" s="5"/>
      <c r="F854" s="5"/>
      <c r="G854" s="5"/>
      <c r="K854" s="5"/>
      <c r="L854" s="5"/>
      <c r="P854" s="5"/>
      <c r="Q854"/>
      <c r="U854"/>
    </row>
    <row r="855" spans="2:21" x14ac:dyDescent="0.2">
      <c r="B855" s="5"/>
      <c r="F855" s="5"/>
      <c r="G855" s="5"/>
      <c r="K855" s="5"/>
      <c r="L855" s="5"/>
      <c r="P855" s="5"/>
      <c r="Q855"/>
      <c r="U855"/>
    </row>
    <row r="856" spans="2:21" x14ac:dyDescent="0.2">
      <c r="B856" s="5"/>
      <c r="F856" s="5"/>
      <c r="G856" s="5"/>
      <c r="K856" s="5"/>
      <c r="L856" s="5"/>
      <c r="P856" s="5"/>
      <c r="Q856"/>
      <c r="U856"/>
    </row>
    <row r="857" spans="2:21" x14ac:dyDescent="0.2">
      <c r="B857" s="5"/>
      <c r="F857" s="5"/>
      <c r="G857" s="5"/>
      <c r="K857" s="5"/>
      <c r="L857" s="5"/>
      <c r="P857" s="5"/>
      <c r="Q857"/>
      <c r="U857"/>
    </row>
    <row r="858" spans="2:21" x14ac:dyDescent="0.2">
      <c r="B858" s="5"/>
      <c r="F858" s="5"/>
      <c r="G858" s="5"/>
      <c r="K858" s="5"/>
      <c r="L858" s="5"/>
      <c r="P858" s="5"/>
      <c r="Q858"/>
      <c r="U858"/>
    </row>
    <row r="859" spans="2:21" x14ac:dyDescent="0.2">
      <c r="B859" s="5"/>
      <c r="F859" s="5"/>
      <c r="G859" s="5"/>
      <c r="K859" s="5"/>
      <c r="L859" s="5"/>
      <c r="P859" s="5"/>
      <c r="Q859"/>
      <c r="U859"/>
    </row>
    <row r="860" spans="2:21" x14ac:dyDescent="0.2">
      <c r="B860" s="5"/>
      <c r="F860" s="5"/>
      <c r="G860" s="5"/>
      <c r="K860" s="5"/>
      <c r="L860" s="5"/>
      <c r="P860" s="5"/>
      <c r="Q860"/>
      <c r="U860"/>
    </row>
    <row r="861" spans="2:21" x14ac:dyDescent="0.2">
      <c r="B861" s="5"/>
      <c r="F861" s="5"/>
      <c r="G861" s="5"/>
      <c r="K861" s="5"/>
      <c r="L861" s="5"/>
      <c r="P861" s="5"/>
      <c r="Q861"/>
      <c r="U861"/>
    </row>
    <row r="862" spans="2:21" x14ac:dyDescent="0.2">
      <c r="B862" s="5"/>
      <c r="F862" s="5"/>
      <c r="G862" s="5"/>
      <c r="K862" s="5"/>
      <c r="L862" s="5"/>
      <c r="P862" s="5"/>
      <c r="Q862"/>
      <c r="U862"/>
    </row>
    <row r="863" spans="2:21" x14ac:dyDescent="0.2">
      <c r="B863" s="5"/>
      <c r="F863" s="5"/>
      <c r="G863" s="5"/>
      <c r="K863" s="5"/>
      <c r="L863" s="5"/>
      <c r="P863" s="5"/>
      <c r="Q863"/>
      <c r="U863"/>
    </row>
    <row r="864" spans="2:21" x14ac:dyDescent="0.2">
      <c r="B864" s="5"/>
      <c r="F864" s="5"/>
      <c r="G864" s="5"/>
      <c r="K864" s="5"/>
      <c r="L864" s="5"/>
      <c r="P864" s="5"/>
      <c r="Q864"/>
      <c r="U864"/>
    </row>
    <row r="865" spans="2:21" x14ac:dyDescent="0.2">
      <c r="B865" s="5"/>
      <c r="F865" s="5"/>
      <c r="G865" s="5"/>
      <c r="K865" s="5"/>
      <c r="L865" s="5"/>
      <c r="P865" s="5"/>
      <c r="Q865"/>
      <c r="U865"/>
    </row>
    <row r="866" spans="2:21" x14ac:dyDescent="0.2">
      <c r="B866" s="5"/>
      <c r="F866" s="5"/>
      <c r="G866" s="5"/>
      <c r="K866" s="5"/>
      <c r="L866" s="5"/>
      <c r="P866" s="5"/>
      <c r="Q866"/>
      <c r="U866"/>
    </row>
    <row r="867" spans="2:21" x14ac:dyDescent="0.2">
      <c r="B867" s="5"/>
      <c r="F867" s="5"/>
      <c r="G867" s="5"/>
      <c r="K867" s="5"/>
      <c r="L867" s="5"/>
      <c r="P867" s="5"/>
      <c r="Q867"/>
      <c r="U867"/>
    </row>
    <row r="868" spans="2:21" x14ac:dyDescent="0.2">
      <c r="B868" s="5"/>
      <c r="F868" s="5"/>
      <c r="G868" s="5"/>
      <c r="K868" s="5"/>
      <c r="L868" s="5"/>
      <c r="P868" s="5"/>
      <c r="Q868"/>
      <c r="U868"/>
    </row>
    <row r="869" spans="2:21" x14ac:dyDescent="0.2">
      <c r="B869" s="5"/>
      <c r="F869" s="5"/>
      <c r="G869" s="5"/>
      <c r="K869" s="5"/>
      <c r="L869" s="5"/>
      <c r="P869" s="5"/>
      <c r="Q869"/>
      <c r="U869"/>
    </row>
    <row r="870" spans="2:21" x14ac:dyDescent="0.2">
      <c r="B870" s="5"/>
      <c r="F870" s="5"/>
      <c r="G870" s="5"/>
      <c r="K870" s="5"/>
      <c r="L870" s="5"/>
      <c r="P870" s="5"/>
      <c r="Q870"/>
      <c r="U870"/>
    </row>
    <row r="871" spans="2:21" x14ac:dyDescent="0.2">
      <c r="B871" s="5"/>
      <c r="F871" s="5"/>
      <c r="G871" s="5"/>
      <c r="K871" s="5"/>
      <c r="L871" s="5"/>
      <c r="P871" s="5"/>
      <c r="Q871"/>
      <c r="U871"/>
    </row>
    <row r="872" spans="2:21" x14ac:dyDescent="0.2">
      <c r="B872" s="5"/>
      <c r="F872" s="5"/>
      <c r="G872" s="5"/>
      <c r="K872" s="5"/>
      <c r="L872" s="5"/>
      <c r="P872" s="5"/>
      <c r="Q872"/>
      <c r="U872"/>
    </row>
    <row r="873" spans="2:21" x14ac:dyDescent="0.2">
      <c r="B873" s="5"/>
      <c r="F873" s="5"/>
      <c r="G873" s="5"/>
      <c r="K873" s="5"/>
      <c r="L873" s="5"/>
      <c r="P873" s="5"/>
      <c r="Q873"/>
      <c r="U873"/>
    </row>
    <row r="874" spans="2:21" x14ac:dyDescent="0.2">
      <c r="B874" s="5"/>
      <c r="F874" s="5"/>
      <c r="G874" s="5"/>
      <c r="K874" s="5"/>
      <c r="L874" s="5"/>
      <c r="P874" s="5"/>
      <c r="Q874"/>
      <c r="U874"/>
    </row>
    <row r="875" spans="2:21" x14ac:dyDescent="0.2">
      <c r="B875" s="5"/>
      <c r="F875" s="5"/>
      <c r="G875" s="5"/>
      <c r="K875" s="5"/>
      <c r="L875" s="5"/>
      <c r="P875" s="5"/>
      <c r="Q875"/>
      <c r="U875"/>
    </row>
    <row r="876" spans="2:21" x14ac:dyDescent="0.2">
      <c r="B876" s="5"/>
      <c r="F876" s="5"/>
      <c r="G876" s="5"/>
      <c r="K876" s="5"/>
      <c r="L876" s="5"/>
      <c r="P876" s="5"/>
      <c r="Q876"/>
      <c r="U876"/>
    </row>
    <row r="877" spans="2:21" x14ac:dyDescent="0.2">
      <c r="B877" s="5"/>
      <c r="F877" s="5"/>
      <c r="G877" s="5"/>
      <c r="K877" s="5"/>
      <c r="L877" s="5"/>
      <c r="P877" s="5"/>
      <c r="Q877"/>
      <c r="U877"/>
    </row>
    <row r="878" spans="2:21" x14ac:dyDescent="0.2">
      <c r="B878" s="5"/>
      <c r="F878" s="5"/>
      <c r="G878" s="5"/>
      <c r="K878" s="5"/>
      <c r="L878" s="5"/>
      <c r="P878" s="5"/>
      <c r="Q878"/>
      <c r="U878"/>
    </row>
    <row r="879" spans="2:21" x14ac:dyDescent="0.2">
      <c r="B879" s="5"/>
      <c r="F879" s="5"/>
      <c r="G879" s="5"/>
      <c r="K879" s="5"/>
      <c r="L879" s="5"/>
      <c r="P879" s="5"/>
      <c r="Q879"/>
      <c r="U879"/>
    </row>
    <row r="880" spans="2:21" x14ac:dyDescent="0.2">
      <c r="B880" s="5"/>
      <c r="F880" s="5"/>
      <c r="G880" s="5"/>
      <c r="K880" s="5"/>
      <c r="L880" s="5"/>
      <c r="P880" s="5"/>
      <c r="Q880"/>
      <c r="U880"/>
    </row>
    <row r="881" spans="2:21" x14ac:dyDescent="0.2">
      <c r="B881" s="5"/>
      <c r="F881" s="5"/>
      <c r="G881" s="5"/>
      <c r="K881" s="5"/>
      <c r="L881" s="5"/>
      <c r="P881" s="5"/>
      <c r="Q881"/>
      <c r="U881"/>
    </row>
    <row r="882" spans="2:21" x14ac:dyDescent="0.2">
      <c r="B882" s="5"/>
      <c r="F882" s="5"/>
      <c r="G882" s="5"/>
      <c r="K882" s="5"/>
      <c r="L882" s="5"/>
      <c r="P882" s="5"/>
      <c r="Q882"/>
      <c r="U882"/>
    </row>
    <row r="883" spans="2:21" x14ac:dyDescent="0.2">
      <c r="B883" s="5"/>
      <c r="F883" s="5"/>
      <c r="G883" s="5"/>
      <c r="K883" s="5"/>
      <c r="L883" s="5"/>
      <c r="P883" s="5"/>
      <c r="Q883"/>
      <c r="U883"/>
    </row>
    <row r="884" spans="2:21" x14ac:dyDescent="0.2">
      <c r="B884" s="5"/>
      <c r="F884" s="5"/>
      <c r="G884" s="5"/>
      <c r="K884" s="5"/>
      <c r="L884" s="5"/>
      <c r="P884" s="5"/>
      <c r="Q884"/>
      <c r="U884"/>
    </row>
    <row r="885" spans="2:21" x14ac:dyDescent="0.2">
      <c r="B885" s="5"/>
      <c r="F885" s="5"/>
      <c r="G885" s="5"/>
      <c r="K885" s="5"/>
      <c r="L885" s="5"/>
      <c r="P885" s="5"/>
      <c r="Q885"/>
      <c r="U885"/>
    </row>
    <row r="886" spans="2:21" x14ac:dyDescent="0.2">
      <c r="B886" s="5"/>
      <c r="F886" s="5"/>
      <c r="G886" s="5"/>
      <c r="K886" s="5"/>
      <c r="L886" s="5"/>
      <c r="P886" s="5"/>
      <c r="Q886"/>
      <c r="U886"/>
    </row>
    <row r="887" spans="2:21" x14ac:dyDescent="0.2">
      <c r="B887" s="5"/>
      <c r="F887" s="5"/>
      <c r="G887" s="5"/>
      <c r="K887" s="5"/>
      <c r="L887" s="5"/>
      <c r="P887" s="5"/>
      <c r="Q887"/>
      <c r="U887"/>
    </row>
    <row r="888" spans="2:21" x14ac:dyDescent="0.2">
      <c r="B888" s="5"/>
      <c r="F888" s="5"/>
      <c r="G888" s="5"/>
      <c r="K888" s="5"/>
      <c r="L888" s="5"/>
      <c r="P888" s="5"/>
      <c r="Q888"/>
      <c r="U888"/>
    </row>
    <row r="889" spans="2:21" x14ac:dyDescent="0.2">
      <c r="B889" s="5"/>
      <c r="F889" s="5"/>
      <c r="G889" s="5"/>
      <c r="K889" s="5"/>
      <c r="L889" s="5"/>
      <c r="P889" s="5"/>
      <c r="Q889"/>
      <c r="U889"/>
    </row>
    <row r="890" spans="2:21" x14ac:dyDescent="0.2">
      <c r="B890" s="5"/>
      <c r="F890" s="5"/>
      <c r="G890" s="5"/>
      <c r="K890" s="5"/>
      <c r="L890" s="5"/>
      <c r="P890" s="5"/>
      <c r="Q890"/>
      <c r="U890"/>
    </row>
    <row r="891" spans="2:21" x14ac:dyDescent="0.2">
      <c r="B891" s="5"/>
      <c r="F891" s="5"/>
      <c r="G891" s="5"/>
      <c r="K891" s="5"/>
      <c r="L891" s="5"/>
      <c r="P891" s="5"/>
      <c r="Q891"/>
      <c r="U891"/>
    </row>
    <row r="892" spans="2:21" x14ac:dyDescent="0.2">
      <c r="B892" s="5"/>
      <c r="F892" s="5"/>
      <c r="G892" s="5"/>
      <c r="K892" s="5"/>
      <c r="L892" s="5"/>
      <c r="P892" s="5"/>
      <c r="Q892"/>
      <c r="U892"/>
    </row>
    <row r="893" spans="2:21" x14ac:dyDescent="0.2">
      <c r="B893" s="5"/>
      <c r="F893" s="5"/>
      <c r="G893" s="5"/>
      <c r="K893" s="5"/>
      <c r="L893" s="5"/>
      <c r="P893" s="5"/>
      <c r="Q893"/>
      <c r="U893"/>
    </row>
    <row r="894" spans="2:21" x14ac:dyDescent="0.2">
      <c r="B894" s="5"/>
      <c r="F894" s="5"/>
      <c r="G894" s="5"/>
      <c r="K894" s="5"/>
      <c r="L894" s="5"/>
      <c r="P894" s="5"/>
      <c r="Q894"/>
      <c r="U894"/>
    </row>
    <row r="895" spans="2:21" x14ac:dyDescent="0.2">
      <c r="B895" s="5"/>
      <c r="F895" s="5"/>
      <c r="G895" s="5"/>
      <c r="K895" s="5"/>
      <c r="L895" s="5"/>
      <c r="P895" s="5"/>
      <c r="Q895"/>
      <c r="U895"/>
    </row>
    <row r="896" spans="2:21" x14ac:dyDescent="0.2">
      <c r="B896" s="5"/>
      <c r="F896" s="5"/>
      <c r="G896" s="5"/>
      <c r="K896" s="5"/>
      <c r="L896" s="5"/>
      <c r="P896" s="5"/>
      <c r="Q896"/>
      <c r="U896"/>
    </row>
    <row r="897" spans="2:21" x14ac:dyDescent="0.2">
      <c r="B897" s="5"/>
      <c r="F897" s="5"/>
      <c r="G897" s="5"/>
      <c r="K897" s="5"/>
      <c r="L897" s="5"/>
      <c r="P897" s="5"/>
      <c r="Q897"/>
      <c r="U897"/>
    </row>
    <row r="898" spans="2:21" x14ac:dyDescent="0.2">
      <c r="B898" s="5"/>
      <c r="F898" s="5"/>
      <c r="G898" s="5"/>
      <c r="K898" s="5"/>
      <c r="L898" s="5"/>
      <c r="P898" s="5"/>
      <c r="Q898"/>
      <c r="U898"/>
    </row>
    <row r="899" spans="2:21" x14ac:dyDescent="0.2">
      <c r="B899" s="5"/>
      <c r="F899" s="5"/>
      <c r="G899" s="5"/>
      <c r="K899" s="5"/>
      <c r="L899" s="5"/>
      <c r="P899" s="5"/>
      <c r="Q899"/>
      <c r="U899"/>
    </row>
    <row r="900" spans="2:21" x14ac:dyDescent="0.2">
      <c r="B900" s="5"/>
      <c r="F900" s="5"/>
      <c r="G900" s="5"/>
      <c r="K900" s="5"/>
      <c r="L900" s="5"/>
      <c r="P900" s="5"/>
      <c r="Q900"/>
      <c r="U900"/>
    </row>
    <row r="901" spans="2:21" x14ac:dyDescent="0.2">
      <c r="B901" s="5"/>
      <c r="F901" s="5"/>
      <c r="G901" s="5"/>
      <c r="K901" s="5"/>
      <c r="L901" s="5"/>
      <c r="P901" s="5"/>
      <c r="Q901"/>
      <c r="U901"/>
    </row>
    <row r="902" spans="2:21" x14ac:dyDescent="0.2">
      <c r="B902" s="5"/>
      <c r="F902" s="5"/>
      <c r="G902" s="5"/>
      <c r="K902" s="5"/>
      <c r="L902" s="5"/>
      <c r="P902" s="5"/>
      <c r="Q902"/>
      <c r="U902"/>
    </row>
    <row r="903" spans="2:21" x14ac:dyDescent="0.2">
      <c r="B903" s="5"/>
      <c r="F903" s="5"/>
      <c r="G903" s="5"/>
      <c r="K903" s="5"/>
      <c r="L903" s="5"/>
      <c r="P903" s="5"/>
      <c r="Q903"/>
      <c r="U903"/>
    </row>
    <row r="904" spans="2:21" x14ac:dyDescent="0.2">
      <c r="B904" s="5"/>
      <c r="F904" s="5"/>
      <c r="G904" s="5"/>
      <c r="K904" s="5"/>
      <c r="L904" s="5"/>
      <c r="P904" s="5"/>
      <c r="Q904"/>
      <c r="U904"/>
    </row>
    <row r="905" spans="2:21" x14ac:dyDescent="0.2">
      <c r="B905" s="5"/>
      <c r="F905" s="5"/>
      <c r="G905" s="5"/>
      <c r="K905" s="5"/>
      <c r="L905" s="5"/>
      <c r="P905" s="5"/>
      <c r="Q905"/>
      <c r="U905"/>
    </row>
    <row r="906" spans="2:21" x14ac:dyDescent="0.2">
      <c r="B906" s="5"/>
      <c r="F906" s="5"/>
      <c r="G906" s="5"/>
      <c r="K906" s="5"/>
      <c r="L906" s="5"/>
      <c r="P906" s="5"/>
      <c r="Q906"/>
      <c r="U906"/>
    </row>
    <row r="907" spans="2:21" x14ac:dyDescent="0.2">
      <c r="B907" s="5"/>
      <c r="F907" s="5"/>
      <c r="G907" s="5"/>
      <c r="K907" s="5"/>
      <c r="L907" s="5"/>
      <c r="P907" s="5"/>
      <c r="Q907"/>
      <c r="U907"/>
    </row>
    <row r="908" spans="2:21" x14ac:dyDescent="0.2">
      <c r="B908" s="5"/>
      <c r="F908" s="5"/>
      <c r="G908" s="5"/>
      <c r="K908" s="5"/>
      <c r="L908" s="5"/>
      <c r="P908" s="5"/>
      <c r="Q908"/>
      <c r="U908"/>
    </row>
    <row r="909" spans="2:21" x14ac:dyDescent="0.2">
      <c r="B909" s="5"/>
      <c r="F909" s="5"/>
      <c r="G909" s="5"/>
      <c r="K909" s="5"/>
      <c r="L909" s="5"/>
      <c r="P909" s="5"/>
      <c r="Q909"/>
      <c r="U909"/>
    </row>
    <row r="910" spans="2:21" x14ac:dyDescent="0.2">
      <c r="B910" s="5"/>
      <c r="F910" s="5"/>
      <c r="G910" s="5"/>
      <c r="K910" s="5"/>
      <c r="L910" s="5"/>
      <c r="P910" s="5"/>
      <c r="Q910"/>
      <c r="U910"/>
    </row>
    <row r="911" spans="2:21" x14ac:dyDescent="0.2">
      <c r="B911" s="5"/>
      <c r="F911" s="5"/>
      <c r="G911" s="5"/>
      <c r="K911" s="5"/>
      <c r="L911" s="5"/>
      <c r="P911" s="5"/>
      <c r="Q911"/>
      <c r="U911"/>
    </row>
    <row r="912" spans="2:21" x14ac:dyDescent="0.2">
      <c r="B912" s="5"/>
      <c r="F912" s="5"/>
      <c r="G912" s="5"/>
      <c r="K912" s="5"/>
      <c r="L912" s="5"/>
      <c r="P912" s="5"/>
      <c r="Q912"/>
      <c r="U912"/>
    </row>
    <row r="913" spans="2:21" x14ac:dyDescent="0.2">
      <c r="B913" s="5"/>
      <c r="F913" s="5"/>
      <c r="G913" s="5"/>
      <c r="K913" s="5"/>
      <c r="L913" s="5"/>
      <c r="P913" s="5"/>
      <c r="Q913"/>
      <c r="U913"/>
    </row>
    <row r="914" spans="2:21" x14ac:dyDescent="0.2">
      <c r="B914" s="5"/>
      <c r="F914" s="5"/>
      <c r="G914" s="5"/>
      <c r="K914" s="5"/>
      <c r="L914" s="5"/>
      <c r="P914" s="5"/>
      <c r="Q914"/>
      <c r="U914"/>
    </row>
    <row r="915" spans="2:21" x14ac:dyDescent="0.2">
      <c r="B915" s="5"/>
      <c r="F915" s="5"/>
      <c r="G915" s="5"/>
      <c r="K915" s="5"/>
      <c r="L915" s="5"/>
      <c r="P915" s="5"/>
      <c r="Q915"/>
      <c r="U915"/>
    </row>
    <row r="916" spans="2:21" x14ac:dyDescent="0.2">
      <c r="B916" s="5"/>
      <c r="F916" s="5"/>
      <c r="G916" s="5"/>
      <c r="K916" s="5"/>
      <c r="L916" s="5"/>
      <c r="P916" s="5"/>
      <c r="Q916"/>
      <c r="U916"/>
    </row>
    <row r="917" spans="2:21" x14ac:dyDescent="0.2">
      <c r="B917" s="5"/>
      <c r="F917" s="5"/>
      <c r="G917" s="5"/>
      <c r="K917" s="5"/>
      <c r="L917" s="5"/>
      <c r="P917" s="5"/>
      <c r="Q917"/>
      <c r="U917"/>
    </row>
    <row r="918" spans="2:21" x14ac:dyDescent="0.2">
      <c r="B918" s="5"/>
      <c r="F918" s="5"/>
      <c r="G918" s="5"/>
      <c r="K918" s="5"/>
      <c r="L918" s="5"/>
      <c r="P918" s="5"/>
      <c r="Q918"/>
      <c r="U918"/>
    </row>
    <row r="919" spans="2:21" x14ac:dyDescent="0.2">
      <c r="B919" s="5"/>
      <c r="F919" s="5"/>
      <c r="G919" s="5"/>
      <c r="K919" s="5"/>
      <c r="L919" s="5"/>
      <c r="P919" s="5"/>
      <c r="Q919"/>
      <c r="U919"/>
    </row>
    <row r="920" spans="2:21" x14ac:dyDescent="0.2">
      <c r="B920" s="5"/>
      <c r="F920" s="5"/>
      <c r="G920" s="5"/>
      <c r="K920" s="5"/>
      <c r="L920" s="5"/>
      <c r="P920" s="5"/>
      <c r="Q920"/>
      <c r="U920"/>
    </row>
    <row r="921" spans="2:21" x14ac:dyDescent="0.2">
      <c r="B921" s="5"/>
      <c r="F921" s="5"/>
      <c r="G921" s="5"/>
      <c r="K921" s="5"/>
      <c r="L921" s="5"/>
      <c r="P921" s="5"/>
      <c r="Q921"/>
      <c r="U921"/>
    </row>
    <row r="922" spans="2:21" x14ac:dyDescent="0.2">
      <c r="B922" s="5"/>
      <c r="F922" s="5"/>
      <c r="G922" s="5"/>
      <c r="K922" s="5"/>
      <c r="L922" s="5"/>
      <c r="P922" s="5"/>
      <c r="Q922"/>
      <c r="U922"/>
    </row>
    <row r="923" spans="2:21" x14ac:dyDescent="0.2">
      <c r="B923" s="5"/>
      <c r="F923" s="5"/>
      <c r="G923" s="5"/>
      <c r="K923" s="5"/>
      <c r="L923" s="5"/>
      <c r="P923" s="5"/>
      <c r="Q923"/>
      <c r="U923"/>
    </row>
    <row r="924" spans="2:21" x14ac:dyDescent="0.2">
      <c r="B924" s="5"/>
      <c r="F924" s="5"/>
      <c r="G924" s="5"/>
      <c r="K924" s="5"/>
      <c r="L924" s="5"/>
      <c r="P924" s="5"/>
      <c r="Q924"/>
      <c r="U924"/>
    </row>
    <row r="925" spans="2:21" x14ac:dyDescent="0.2">
      <c r="B925" s="5"/>
      <c r="F925" s="5"/>
      <c r="G925" s="5"/>
      <c r="K925" s="5"/>
      <c r="L925" s="5"/>
      <c r="P925" s="5"/>
      <c r="Q925"/>
      <c r="U925"/>
    </row>
    <row r="926" spans="2:21" x14ac:dyDescent="0.2">
      <c r="B926" s="5"/>
      <c r="F926" s="5"/>
      <c r="G926" s="5"/>
      <c r="K926" s="5"/>
      <c r="L926" s="5"/>
      <c r="P926" s="5"/>
      <c r="Q926"/>
      <c r="U926"/>
    </row>
    <row r="927" spans="2:21" x14ac:dyDescent="0.2">
      <c r="B927" s="5"/>
      <c r="F927" s="5"/>
      <c r="G927" s="5"/>
      <c r="K927" s="5"/>
      <c r="L927" s="5"/>
      <c r="P927" s="5"/>
      <c r="Q927"/>
      <c r="U927"/>
    </row>
    <row r="928" spans="2:21" x14ac:dyDescent="0.2">
      <c r="B928" s="5"/>
      <c r="F928" s="5"/>
      <c r="G928" s="5"/>
      <c r="K928" s="5"/>
      <c r="L928" s="5"/>
      <c r="P928" s="5"/>
      <c r="Q928"/>
      <c r="U928"/>
    </row>
    <row r="929" spans="2:21" x14ac:dyDescent="0.2">
      <c r="B929" s="5"/>
      <c r="F929" s="5"/>
      <c r="G929" s="5"/>
      <c r="K929" s="5"/>
      <c r="L929" s="5"/>
      <c r="P929" s="5"/>
      <c r="Q929"/>
      <c r="U929"/>
    </row>
    <row r="930" spans="2:21" x14ac:dyDescent="0.2">
      <c r="B930" s="5"/>
      <c r="F930" s="5"/>
      <c r="G930" s="5"/>
      <c r="K930" s="5"/>
      <c r="L930" s="5"/>
      <c r="P930" s="5"/>
      <c r="Q930"/>
      <c r="U930"/>
    </row>
    <row r="931" spans="2:21" x14ac:dyDescent="0.2">
      <c r="B931" s="5"/>
      <c r="F931" s="5"/>
      <c r="G931" s="5"/>
      <c r="K931" s="5"/>
      <c r="L931" s="5"/>
      <c r="P931" s="5"/>
      <c r="Q931"/>
      <c r="U931"/>
    </row>
    <row r="932" spans="2:21" x14ac:dyDescent="0.2">
      <c r="B932" s="5"/>
      <c r="F932" s="5"/>
      <c r="G932" s="5"/>
      <c r="K932" s="5"/>
      <c r="L932" s="5"/>
      <c r="P932" s="5"/>
      <c r="Q932"/>
      <c r="U932"/>
    </row>
    <row r="933" spans="2:21" x14ac:dyDescent="0.2">
      <c r="B933" s="5"/>
      <c r="F933" s="5"/>
      <c r="G933" s="5"/>
      <c r="K933" s="5"/>
      <c r="L933" s="5"/>
      <c r="P933" s="5"/>
      <c r="Q933"/>
      <c r="U933"/>
    </row>
    <row r="934" spans="2:21" x14ac:dyDescent="0.2">
      <c r="B934" s="5"/>
      <c r="F934" s="5"/>
      <c r="G934" s="5"/>
      <c r="K934" s="5"/>
      <c r="L934" s="5"/>
      <c r="P934" s="5"/>
      <c r="Q934"/>
      <c r="U934"/>
    </row>
    <row r="935" spans="2:21" x14ac:dyDescent="0.2">
      <c r="B935" s="5"/>
      <c r="F935" s="5"/>
      <c r="G935" s="5"/>
      <c r="K935" s="5"/>
      <c r="L935" s="5"/>
      <c r="P935" s="5"/>
      <c r="Q935"/>
      <c r="U935"/>
    </row>
    <row r="936" spans="2:21" x14ac:dyDescent="0.2">
      <c r="B936" s="5"/>
      <c r="F936" s="5"/>
      <c r="G936" s="5"/>
      <c r="K936" s="5"/>
      <c r="L936" s="5"/>
      <c r="P936" s="5"/>
      <c r="Q936"/>
      <c r="U936"/>
    </row>
    <row r="937" spans="2:21" x14ac:dyDescent="0.2">
      <c r="B937" s="5"/>
      <c r="F937" s="5"/>
      <c r="G937" s="5"/>
      <c r="K937" s="5"/>
      <c r="L937" s="5"/>
      <c r="P937" s="5"/>
      <c r="Q937"/>
      <c r="U937"/>
    </row>
    <row r="938" spans="2:21" x14ac:dyDescent="0.2">
      <c r="B938" s="5"/>
      <c r="F938" s="5"/>
      <c r="G938" s="5"/>
      <c r="K938" s="5"/>
      <c r="L938" s="5"/>
      <c r="P938" s="5"/>
      <c r="Q938"/>
      <c r="U938"/>
    </row>
    <row r="939" spans="2:21" x14ac:dyDescent="0.2">
      <c r="B939" s="5"/>
      <c r="F939" s="5"/>
      <c r="G939" s="5"/>
      <c r="K939" s="5"/>
      <c r="L939" s="5"/>
      <c r="P939" s="5"/>
      <c r="Q939"/>
      <c r="U939"/>
    </row>
    <row r="940" spans="2:21" x14ac:dyDescent="0.2">
      <c r="B940" s="5"/>
      <c r="F940" s="5"/>
      <c r="G940" s="5"/>
      <c r="K940" s="5"/>
      <c r="L940" s="5"/>
      <c r="P940" s="5"/>
      <c r="Q940"/>
      <c r="U940"/>
    </row>
    <row r="941" spans="2:21" x14ac:dyDescent="0.2">
      <c r="B941" s="5"/>
      <c r="F941" s="5"/>
      <c r="G941" s="5"/>
      <c r="K941" s="5"/>
      <c r="L941" s="5"/>
      <c r="P941" s="5"/>
      <c r="Q941"/>
      <c r="U941"/>
    </row>
    <row r="942" spans="2:21" x14ac:dyDescent="0.2">
      <c r="B942" s="5"/>
      <c r="F942" s="5"/>
      <c r="G942" s="5"/>
      <c r="K942" s="5"/>
      <c r="L942" s="5"/>
      <c r="P942" s="5"/>
      <c r="Q942"/>
      <c r="U942"/>
    </row>
    <row r="943" spans="2:21" x14ac:dyDescent="0.2">
      <c r="B943" s="5"/>
      <c r="F943" s="5"/>
      <c r="G943" s="5"/>
      <c r="K943" s="5"/>
      <c r="L943" s="5"/>
      <c r="P943" s="5"/>
      <c r="Q943"/>
      <c r="U943"/>
    </row>
    <row r="944" spans="2:21" x14ac:dyDescent="0.2">
      <c r="B944" s="5"/>
      <c r="F944" s="5"/>
      <c r="G944" s="5"/>
      <c r="K944" s="5"/>
      <c r="L944" s="5"/>
      <c r="P944" s="5"/>
      <c r="Q944"/>
      <c r="U944"/>
    </row>
    <row r="945" spans="2:21" x14ac:dyDescent="0.2">
      <c r="B945" s="5"/>
      <c r="F945" s="5"/>
      <c r="G945" s="5"/>
      <c r="K945" s="5"/>
      <c r="L945" s="5"/>
      <c r="P945" s="5"/>
      <c r="Q945"/>
      <c r="U945"/>
    </row>
    <row r="946" spans="2:21" x14ac:dyDescent="0.2">
      <c r="B946" s="5"/>
      <c r="F946" s="5"/>
      <c r="G946" s="5"/>
      <c r="K946" s="5"/>
      <c r="L946" s="5"/>
      <c r="P946" s="5"/>
      <c r="Q946"/>
      <c r="U946"/>
    </row>
    <row r="947" spans="2:21" x14ac:dyDescent="0.2">
      <c r="B947" s="5"/>
      <c r="F947" s="5"/>
      <c r="G947" s="5"/>
      <c r="K947" s="5"/>
      <c r="L947" s="5"/>
      <c r="P947" s="5"/>
      <c r="Q947"/>
      <c r="U947"/>
    </row>
    <row r="948" spans="2:21" x14ac:dyDescent="0.2">
      <c r="B948" s="5"/>
      <c r="F948" s="5"/>
      <c r="G948" s="5"/>
      <c r="K948" s="5"/>
      <c r="L948" s="5"/>
      <c r="P948" s="5"/>
      <c r="Q948"/>
      <c r="U948"/>
    </row>
    <row r="949" spans="2:21" x14ac:dyDescent="0.2">
      <c r="B949" s="5"/>
      <c r="F949" s="5"/>
      <c r="G949" s="5"/>
      <c r="K949" s="5"/>
      <c r="L949" s="5"/>
      <c r="P949" s="5"/>
      <c r="Q949"/>
      <c r="U949"/>
    </row>
    <row r="950" spans="2:21" x14ac:dyDescent="0.2">
      <c r="B950" s="5"/>
      <c r="F950" s="5"/>
      <c r="G950" s="5"/>
      <c r="K950" s="5"/>
      <c r="L950" s="5"/>
      <c r="P950" s="5"/>
      <c r="Q950"/>
      <c r="U950"/>
    </row>
    <row r="951" spans="2:21" x14ac:dyDescent="0.2">
      <c r="B951" s="5"/>
      <c r="F951" s="5"/>
      <c r="G951" s="5"/>
      <c r="K951" s="5"/>
      <c r="L951" s="5"/>
      <c r="P951" s="5"/>
      <c r="Q951"/>
      <c r="U951"/>
    </row>
    <row r="952" spans="2:21" x14ac:dyDescent="0.2">
      <c r="B952" s="5"/>
      <c r="F952" s="5"/>
      <c r="G952" s="5"/>
      <c r="K952" s="5"/>
      <c r="L952" s="5"/>
      <c r="P952" s="5"/>
      <c r="Q952"/>
      <c r="U952"/>
    </row>
    <row r="953" spans="2:21" x14ac:dyDescent="0.2">
      <c r="B953" s="5"/>
      <c r="F953" s="5"/>
      <c r="G953" s="5"/>
      <c r="K953" s="5"/>
      <c r="L953" s="5"/>
      <c r="P953" s="5"/>
      <c r="Q953"/>
      <c r="U953"/>
    </row>
    <row r="954" spans="2:21" x14ac:dyDescent="0.2">
      <c r="B954" s="5"/>
      <c r="F954" s="5"/>
      <c r="G954" s="5"/>
      <c r="K954" s="5"/>
      <c r="L954" s="5"/>
      <c r="P954" s="5"/>
      <c r="Q954"/>
      <c r="U954"/>
    </row>
    <row r="955" spans="2:21" x14ac:dyDescent="0.2">
      <c r="B955" s="5"/>
      <c r="F955" s="5"/>
      <c r="G955" s="5"/>
      <c r="K955" s="5"/>
      <c r="L955" s="5"/>
      <c r="P955" s="5"/>
      <c r="Q955"/>
      <c r="U955"/>
    </row>
    <row r="956" spans="2:21" x14ac:dyDescent="0.2">
      <c r="B956" s="5"/>
      <c r="F956" s="5"/>
      <c r="G956" s="5"/>
      <c r="K956" s="5"/>
      <c r="L956" s="5"/>
      <c r="P956" s="5"/>
      <c r="Q956"/>
      <c r="U956"/>
    </row>
    <row r="957" spans="2:21" x14ac:dyDescent="0.2">
      <c r="B957" s="5"/>
      <c r="F957" s="5"/>
      <c r="G957" s="5"/>
      <c r="K957" s="5"/>
      <c r="L957" s="5"/>
      <c r="P957" s="5"/>
      <c r="Q957"/>
      <c r="U957"/>
    </row>
    <row r="958" spans="2:21" x14ac:dyDescent="0.2">
      <c r="B958" s="5"/>
      <c r="F958" s="5"/>
      <c r="G958" s="5"/>
      <c r="K958" s="5"/>
      <c r="L958" s="5"/>
      <c r="P958" s="5"/>
      <c r="Q958"/>
      <c r="U958"/>
    </row>
    <row r="959" spans="2:21" x14ac:dyDescent="0.2">
      <c r="B959" s="5"/>
      <c r="F959" s="5"/>
      <c r="G959" s="5"/>
      <c r="K959" s="5"/>
      <c r="L959" s="5"/>
      <c r="P959" s="5"/>
      <c r="Q959"/>
      <c r="U959"/>
    </row>
    <row r="960" spans="2:21" x14ac:dyDescent="0.2">
      <c r="B960" s="5"/>
      <c r="F960" s="5"/>
      <c r="G960" s="5"/>
      <c r="K960" s="5"/>
      <c r="L960" s="5"/>
      <c r="P960" s="5"/>
      <c r="Q960"/>
      <c r="U960"/>
    </row>
    <row r="961" spans="2:21" x14ac:dyDescent="0.2">
      <c r="B961" s="5"/>
      <c r="F961" s="5"/>
      <c r="G961" s="5"/>
      <c r="K961" s="5"/>
      <c r="L961" s="5"/>
      <c r="P961" s="5"/>
      <c r="Q961"/>
      <c r="U961"/>
    </row>
    <row r="962" spans="2:21" x14ac:dyDescent="0.2">
      <c r="B962" s="5"/>
      <c r="F962" s="5"/>
      <c r="G962" s="5"/>
      <c r="K962" s="5"/>
      <c r="L962" s="5"/>
      <c r="P962" s="5"/>
      <c r="Q962"/>
      <c r="U962"/>
    </row>
    <row r="963" spans="2:21" x14ac:dyDescent="0.2">
      <c r="B963" s="5"/>
      <c r="F963" s="5"/>
      <c r="G963" s="5"/>
      <c r="K963" s="5"/>
      <c r="L963" s="5"/>
      <c r="P963" s="5"/>
      <c r="Q963"/>
      <c r="U963"/>
    </row>
    <row r="964" spans="2:21" x14ac:dyDescent="0.2">
      <c r="B964" s="5"/>
      <c r="F964" s="5"/>
      <c r="G964" s="5"/>
      <c r="K964" s="5"/>
      <c r="L964" s="5"/>
      <c r="P964" s="5"/>
      <c r="Q964"/>
      <c r="U964"/>
    </row>
    <row r="965" spans="2:21" x14ac:dyDescent="0.2">
      <c r="B965" s="5"/>
      <c r="F965" s="5"/>
      <c r="G965" s="5"/>
      <c r="K965" s="5"/>
      <c r="L965" s="5"/>
      <c r="P965" s="5"/>
      <c r="Q965"/>
      <c r="U965"/>
    </row>
    <row r="966" spans="2:21" x14ac:dyDescent="0.2">
      <c r="B966" s="5"/>
      <c r="F966" s="5"/>
      <c r="G966" s="5"/>
      <c r="K966" s="5"/>
      <c r="L966" s="5"/>
      <c r="P966" s="5"/>
      <c r="Q966"/>
      <c r="U966"/>
    </row>
    <row r="967" spans="2:21" x14ac:dyDescent="0.2">
      <c r="B967" s="5"/>
      <c r="F967" s="5"/>
      <c r="G967" s="5"/>
      <c r="K967" s="5"/>
      <c r="L967" s="5"/>
      <c r="P967" s="5"/>
      <c r="Q967"/>
      <c r="U967"/>
    </row>
    <row r="968" spans="2:21" x14ac:dyDescent="0.2">
      <c r="B968" s="5"/>
      <c r="F968" s="5"/>
      <c r="G968" s="5"/>
      <c r="K968" s="5"/>
      <c r="L968" s="5"/>
      <c r="P968" s="5"/>
      <c r="Q968"/>
      <c r="U968"/>
    </row>
    <row r="969" spans="2:21" x14ac:dyDescent="0.2">
      <c r="B969" s="5"/>
      <c r="F969" s="5"/>
      <c r="G969" s="5"/>
      <c r="K969" s="5"/>
      <c r="L969" s="5"/>
      <c r="P969" s="5"/>
      <c r="Q969"/>
      <c r="U969"/>
    </row>
    <row r="970" spans="2:21" x14ac:dyDescent="0.2">
      <c r="B970" s="5"/>
      <c r="F970" s="5"/>
      <c r="G970" s="5"/>
      <c r="K970" s="5"/>
      <c r="L970" s="5"/>
      <c r="P970" s="5"/>
      <c r="Q970"/>
      <c r="U970"/>
    </row>
    <row r="971" spans="2:21" x14ac:dyDescent="0.2">
      <c r="B971" s="5"/>
      <c r="F971" s="5"/>
      <c r="G971" s="5"/>
      <c r="K971" s="5"/>
      <c r="L971" s="5"/>
      <c r="P971" s="5"/>
      <c r="Q971"/>
      <c r="U971"/>
    </row>
    <row r="972" spans="2:21" x14ac:dyDescent="0.2">
      <c r="B972" s="5"/>
      <c r="F972" s="5"/>
      <c r="G972" s="5"/>
      <c r="K972" s="5"/>
      <c r="L972" s="5"/>
      <c r="P972" s="5"/>
      <c r="Q972"/>
      <c r="U972"/>
    </row>
    <row r="973" spans="2:21" x14ac:dyDescent="0.2">
      <c r="B973" s="5"/>
      <c r="F973" s="5"/>
      <c r="G973" s="5"/>
      <c r="K973" s="5"/>
      <c r="L973" s="5"/>
      <c r="P973" s="5"/>
      <c r="Q973"/>
      <c r="U973"/>
    </row>
    <row r="974" spans="2:21" x14ac:dyDescent="0.2">
      <c r="B974" s="5"/>
      <c r="F974" s="5"/>
      <c r="G974" s="5"/>
      <c r="K974" s="5"/>
      <c r="L974" s="5"/>
      <c r="P974" s="5"/>
      <c r="Q974"/>
      <c r="U974"/>
    </row>
    <row r="975" spans="2:21" x14ac:dyDescent="0.2">
      <c r="B975" s="5"/>
      <c r="F975" s="5"/>
      <c r="G975" s="5"/>
      <c r="K975" s="5"/>
      <c r="L975" s="5"/>
      <c r="P975" s="5"/>
      <c r="Q975"/>
      <c r="U975"/>
    </row>
    <row r="976" spans="2:21" x14ac:dyDescent="0.2">
      <c r="B976" s="5"/>
      <c r="F976" s="5"/>
      <c r="G976" s="5"/>
      <c r="K976" s="5"/>
      <c r="L976" s="5"/>
      <c r="P976" s="5"/>
      <c r="Q976"/>
      <c r="U976"/>
    </row>
    <row r="977" spans="2:21" x14ac:dyDescent="0.2">
      <c r="B977" s="5"/>
      <c r="F977" s="5"/>
      <c r="G977" s="5"/>
      <c r="K977" s="5"/>
      <c r="L977" s="5"/>
      <c r="P977" s="5"/>
      <c r="Q977"/>
      <c r="U977"/>
    </row>
    <row r="978" spans="2:21" x14ac:dyDescent="0.2">
      <c r="B978" s="5"/>
      <c r="F978" s="5"/>
      <c r="G978" s="5"/>
      <c r="K978" s="5"/>
      <c r="L978" s="5"/>
      <c r="P978" s="5"/>
      <c r="Q978"/>
      <c r="U978"/>
    </row>
    <row r="979" spans="2:21" x14ac:dyDescent="0.2">
      <c r="B979" s="5"/>
      <c r="F979" s="5"/>
      <c r="G979" s="5"/>
      <c r="K979" s="5"/>
      <c r="L979" s="5"/>
      <c r="P979" s="5"/>
      <c r="Q979"/>
      <c r="U979"/>
    </row>
    <row r="980" spans="2:21" x14ac:dyDescent="0.2">
      <c r="B980" s="5"/>
      <c r="F980" s="5"/>
      <c r="G980" s="5"/>
      <c r="K980" s="5"/>
      <c r="L980" s="5"/>
      <c r="P980" s="5"/>
      <c r="Q980"/>
      <c r="U980"/>
    </row>
    <row r="981" spans="2:21" x14ac:dyDescent="0.2">
      <c r="B981" s="5"/>
      <c r="F981" s="5"/>
      <c r="G981" s="5"/>
      <c r="K981" s="5"/>
      <c r="L981" s="5"/>
      <c r="P981" s="5"/>
      <c r="Q981"/>
      <c r="U981"/>
    </row>
    <row r="982" spans="2:21" x14ac:dyDescent="0.2">
      <c r="B982" s="5"/>
      <c r="F982" s="5"/>
      <c r="G982" s="5"/>
      <c r="K982" s="5"/>
      <c r="L982" s="5"/>
      <c r="P982" s="5"/>
      <c r="Q982"/>
      <c r="U982"/>
    </row>
    <row r="983" spans="2:21" x14ac:dyDescent="0.2">
      <c r="B983" s="5"/>
      <c r="F983" s="5"/>
      <c r="G983" s="5"/>
      <c r="K983" s="5"/>
      <c r="L983" s="5"/>
      <c r="P983" s="5"/>
      <c r="Q983"/>
      <c r="U983"/>
    </row>
    <row r="984" spans="2:21" x14ac:dyDescent="0.2">
      <c r="B984" s="5"/>
      <c r="F984" s="5"/>
      <c r="G984" s="5"/>
      <c r="K984" s="5"/>
      <c r="L984" s="5"/>
      <c r="P984" s="5"/>
      <c r="Q984"/>
      <c r="U984"/>
    </row>
    <row r="985" spans="2:21" x14ac:dyDescent="0.2">
      <c r="B985" s="5"/>
      <c r="F985" s="5"/>
      <c r="G985" s="5"/>
      <c r="K985" s="5"/>
      <c r="L985" s="5"/>
      <c r="P985" s="5"/>
      <c r="Q985"/>
      <c r="U985"/>
    </row>
    <row r="986" spans="2:21" x14ac:dyDescent="0.2">
      <c r="B986" s="5"/>
      <c r="F986" s="5"/>
      <c r="G986" s="5"/>
      <c r="K986" s="5"/>
      <c r="L986" s="5"/>
      <c r="P986" s="5"/>
      <c r="Q986"/>
      <c r="U986"/>
    </row>
    <row r="987" spans="2:21" x14ac:dyDescent="0.2">
      <c r="B987" s="5"/>
      <c r="F987" s="5"/>
      <c r="G987" s="5"/>
      <c r="K987" s="5"/>
      <c r="L987" s="5"/>
      <c r="P987" s="5"/>
      <c r="Q987"/>
      <c r="U987"/>
    </row>
    <row r="988" spans="2:21" x14ac:dyDescent="0.2">
      <c r="B988" s="5"/>
      <c r="F988" s="5"/>
      <c r="G988" s="5"/>
      <c r="K988" s="5"/>
      <c r="L988" s="5"/>
      <c r="P988" s="5"/>
      <c r="Q988"/>
      <c r="U988"/>
    </row>
    <row r="989" spans="2:21" x14ac:dyDescent="0.2">
      <c r="B989" s="5"/>
      <c r="F989" s="5"/>
      <c r="G989" s="5"/>
      <c r="K989" s="5"/>
      <c r="L989" s="5"/>
      <c r="P989" s="5"/>
      <c r="Q989"/>
      <c r="U989"/>
    </row>
    <row r="990" spans="2:21" x14ac:dyDescent="0.2">
      <c r="B990" s="5"/>
      <c r="F990" s="5"/>
      <c r="G990" s="5"/>
      <c r="K990" s="5"/>
      <c r="L990" s="5"/>
      <c r="P990" s="5"/>
      <c r="Q990"/>
      <c r="U990"/>
    </row>
    <row r="991" spans="2:21" x14ac:dyDescent="0.2">
      <c r="B991" s="5"/>
      <c r="F991" s="5"/>
      <c r="G991" s="5"/>
      <c r="K991" s="5"/>
      <c r="L991" s="5"/>
      <c r="P991" s="5"/>
      <c r="Q991"/>
      <c r="U991"/>
    </row>
    <row r="992" spans="2:21" x14ac:dyDescent="0.2">
      <c r="B992" s="5"/>
      <c r="F992" s="5"/>
      <c r="G992" s="5"/>
      <c r="K992" s="5"/>
      <c r="L992" s="5"/>
      <c r="P992" s="5"/>
      <c r="Q992"/>
      <c r="U992"/>
    </row>
    <row r="993" spans="2:21" x14ac:dyDescent="0.2">
      <c r="B993" s="5"/>
      <c r="F993" s="5"/>
      <c r="G993" s="5"/>
      <c r="K993" s="5"/>
      <c r="L993" s="5"/>
      <c r="P993" s="5"/>
      <c r="Q993"/>
      <c r="U993"/>
    </row>
    <row r="994" spans="2:21" x14ac:dyDescent="0.2">
      <c r="B994" s="5"/>
      <c r="F994" s="5"/>
      <c r="G994" s="5"/>
      <c r="K994" s="5"/>
      <c r="L994" s="5"/>
      <c r="P994" s="5"/>
      <c r="Q994"/>
      <c r="U994"/>
    </row>
    <row r="995" spans="2:21" x14ac:dyDescent="0.2">
      <c r="B995" s="5"/>
      <c r="F995" s="5"/>
      <c r="G995" s="5"/>
      <c r="K995" s="5"/>
      <c r="L995" s="5"/>
      <c r="P995" s="5"/>
      <c r="Q995"/>
      <c r="U995"/>
    </row>
    <row r="996" spans="2:21" x14ac:dyDescent="0.2">
      <c r="B996" s="5"/>
      <c r="F996" s="5"/>
      <c r="G996" s="5"/>
      <c r="K996" s="5"/>
      <c r="L996" s="5"/>
      <c r="P996" s="5"/>
      <c r="Q996"/>
      <c r="U996"/>
    </row>
    <row r="997" spans="2:21" x14ac:dyDescent="0.2">
      <c r="B997" s="5"/>
      <c r="F997" s="5"/>
      <c r="G997" s="5"/>
      <c r="K997" s="5"/>
      <c r="L997" s="5"/>
      <c r="P997" s="5"/>
      <c r="Q997"/>
      <c r="U997"/>
    </row>
    <row r="998" spans="2:21" x14ac:dyDescent="0.2">
      <c r="B998" s="5"/>
      <c r="F998" s="5"/>
      <c r="G998" s="5"/>
      <c r="K998" s="5"/>
      <c r="L998" s="5"/>
      <c r="P998" s="5"/>
      <c r="Q998"/>
      <c r="U998"/>
    </row>
    <row r="999" spans="2:21" x14ac:dyDescent="0.2">
      <c r="B999" s="5"/>
      <c r="F999" s="5"/>
      <c r="G999" s="5"/>
      <c r="K999" s="5"/>
      <c r="L999" s="5"/>
      <c r="P999" s="5"/>
      <c r="Q999"/>
      <c r="U999"/>
    </row>
    <row r="1000" spans="2:21" x14ac:dyDescent="0.2">
      <c r="B1000" s="5"/>
      <c r="F1000" s="5"/>
      <c r="G1000" s="5"/>
      <c r="K1000" s="5"/>
      <c r="L1000" s="5"/>
      <c r="P1000" s="5"/>
      <c r="Q1000"/>
      <c r="U1000"/>
    </row>
    <row r="1001" spans="2:21" x14ac:dyDescent="0.2">
      <c r="B1001" s="5"/>
      <c r="F1001" s="5"/>
      <c r="G1001" s="5"/>
      <c r="K1001" s="5"/>
      <c r="L1001" s="5"/>
      <c r="P1001" s="5"/>
      <c r="Q1001"/>
      <c r="U1001"/>
    </row>
    <row r="1002" spans="2:21" x14ac:dyDescent="0.2">
      <c r="B1002" s="5"/>
      <c r="F1002" s="5"/>
      <c r="G1002" s="5"/>
      <c r="K1002" s="5"/>
      <c r="L1002" s="5"/>
      <c r="P1002" s="5"/>
      <c r="Q1002"/>
      <c r="U1002"/>
    </row>
    <row r="1003" spans="2:21" x14ac:dyDescent="0.2">
      <c r="B1003" s="5"/>
      <c r="F1003" s="5"/>
      <c r="G1003" s="5"/>
      <c r="K1003" s="5"/>
      <c r="L1003" s="5"/>
      <c r="P1003" s="5"/>
      <c r="Q1003"/>
      <c r="U1003"/>
    </row>
    <row r="1004" spans="2:21" x14ac:dyDescent="0.2">
      <c r="B1004" s="5"/>
      <c r="F1004" s="5"/>
      <c r="G1004" s="5"/>
      <c r="K1004" s="5"/>
      <c r="L1004" s="5"/>
      <c r="P1004" s="5"/>
      <c r="Q1004"/>
      <c r="U1004"/>
    </row>
    <row r="1005" spans="2:21" x14ac:dyDescent="0.2">
      <c r="B1005" s="5"/>
      <c r="F1005" s="5"/>
      <c r="G1005" s="5"/>
      <c r="K1005" s="5"/>
      <c r="L1005" s="5"/>
      <c r="P1005" s="5"/>
      <c r="Q1005"/>
      <c r="U1005"/>
    </row>
    <row r="1006" spans="2:21" x14ac:dyDescent="0.2">
      <c r="B1006" s="5"/>
      <c r="F1006" s="5"/>
      <c r="G1006" s="5"/>
      <c r="K1006" s="5"/>
      <c r="L1006" s="5"/>
      <c r="P1006" s="5"/>
      <c r="Q1006"/>
      <c r="U1006"/>
    </row>
    <row r="1007" spans="2:21" x14ac:dyDescent="0.2">
      <c r="B1007" s="5"/>
      <c r="F1007" s="5"/>
      <c r="G1007" s="5"/>
      <c r="K1007" s="5"/>
      <c r="L1007" s="5"/>
      <c r="P1007" s="5"/>
      <c r="Q1007"/>
      <c r="U1007"/>
    </row>
    <row r="1008" spans="2:21" x14ac:dyDescent="0.2">
      <c r="B1008" s="5"/>
      <c r="F1008" s="5"/>
      <c r="G1008" s="5"/>
      <c r="K1008" s="5"/>
      <c r="L1008" s="5"/>
      <c r="P1008" s="5"/>
      <c r="Q1008"/>
      <c r="U1008"/>
    </row>
    <row r="1009" spans="2:21" x14ac:dyDescent="0.2">
      <c r="B1009" s="5"/>
      <c r="F1009" s="5"/>
      <c r="G1009" s="5"/>
      <c r="K1009" s="5"/>
      <c r="L1009" s="5"/>
      <c r="P1009" s="5"/>
      <c r="Q1009"/>
      <c r="U1009"/>
    </row>
    <row r="1010" spans="2:21" x14ac:dyDescent="0.2">
      <c r="B1010" s="5"/>
      <c r="F1010" s="5"/>
      <c r="G1010" s="5"/>
      <c r="K1010" s="5"/>
      <c r="L1010" s="5"/>
      <c r="P1010" s="5"/>
      <c r="Q1010"/>
      <c r="U1010"/>
    </row>
    <row r="1011" spans="2:21" x14ac:dyDescent="0.2">
      <c r="B1011" s="5"/>
      <c r="F1011" s="5"/>
      <c r="G1011" s="5"/>
      <c r="K1011" s="5"/>
      <c r="L1011" s="5"/>
      <c r="P1011" s="5"/>
      <c r="Q1011"/>
      <c r="U1011"/>
    </row>
    <row r="1012" spans="2:21" x14ac:dyDescent="0.2">
      <c r="B1012" s="5"/>
      <c r="F1012" s="5"/>
      <c r="G1012" s="5"/>
      <c r="K1012" s="5"/>
      <c r="L1012" s="5"/>
      <c r="P1012" s="5"/>
      <c r="Q1012"/>
      <c r="U1012"/>
    </row>
    <row r="1013" spans="2:21" x14ac:dyDescent="0.2">
      <c r="B1013" s="5"/>
      <c r="F1013" s="5"/>
      <c r="G1013" s="5"/>
      <c r="K1013" s="5"/>
      <c r="L1013" s="5"/>
      <c r="P1013" s="5"/>
      <c r="Q1013"/>
      <c r="U1013"/>
    </row>
    <row r="1014" spans="2:21" x14ac:dyDescent="0.2">
      <c r="B1014" s="5"/>
      <c r="F1014" s="5"/>
      <c r="G1014" s="5"/>
      <c r="K1014" s="5"/>
      <c r="L1014" s="5"/>
      <c r="P1014" s="5"/>
      <c r="Q1014"/>
      <c r="U1014"/>
    </row>
    <row r="1015" spans="2:21" x14ac:dyDescent="0.2">
      <c r="B1015" s="5"/>
      <c r="F1015" s="5"/>
      <c r="G1015" s="5"/>
      <c r="K1015" s="5"/>
      <c r="L1015" s="5"/>
      <c r="P1015" s="5"/>
      <c r="Q1015"/>
      <c r="U1015"/>
    </row>
    <row r="1016" spans="2:21" x14ac:dyDescent="0.2">
      <c r="B1016" s="5"/>
      <c r="F1016" s="5"/>
      <c r="G1016" s="5"/>
      <c r="K1016" s="5"/>
      <c r="L1016" s="5"/>
      <c r="P1016" s="5"/>
      <c r="Q1016"/>
      <c r="U1016"/>
    </row>
    <row r="1017" spans="2:21" x14ac:dyDescent="0.2">
      <c r="B1017" s="5"/>
      <c r="F1017" s="5"/>
      <c r="G1017" s="5"/>
      <c r="K1017" s="5"/>
      <c r="L1017" s="5"/>
      <c r="P1017" s="5"/>
      <c r="Q1017"/>
      <c r="U1017"/>
    </row>
    <row r="1018" spans="2:21" x14ac:dyDescent="0.2">
      <c r="B1018" s="5"/>
      <c r="F1018" s="5"/>
      <c r="G1018" s="5"/>
      <c r="K1018" s="5"/>
      <c r="L1018" s="5"/>
      <c r="P1018" s="5"/>
      <c r="Q1018"/>
      <c r="U1018"/>
    </row>
    <row r="1019" spans="2:21" x14ac:dyDescent="0.2">
      <c r="B1019" s="5"/>
      <c r="F1019" s="5"/>
      <c r="G1019" s="5"/>
      <c r="K1019" s="5"/>
      <c r="L1019" s="5"/>
      <c r="P1019" s="5"/>
      <c r="Q1019"/>
      <c r="U1019"/>
    </row>
    <row r="1020" spans="2:21" x14ac:dyDescent="0.2">
      <c r="B1020" s="5"/>
      <c r="F1020" s="5"/>
      <c r="G1020" s="5"/>
      <c r="K1020" s="5"/>
      <c r="L1020" s="5"/>
      <c r="P1020" s="5"/>
      <c r="Q1020"/>
      <c r="U1020"/>
    </row>
    <row r="1021" spans="2:21" x14ac:dyDescent="0.2">
      <c r="B1021" s="5"/>
      <c r="F1021" s="5"/>
      <c r="G1021" s="5"/>
      <c r="K1021" s="5"/>
      <c r="L1021" s="5"/>
      <c r="P1021" s="5"/>
      <c r="Q1021"/>
      <c r="U1021"/>
    </row>
    <row r="1022" spans="2:21" x14ac:dyDescent="0.2">
      <c r="B1022" s="5"/>
      <c r="F1022" s="5"/>
      <c r="G1022" s="5"/>
      <c r="K1022" s="5"/>
      <c r="L1022" s="5"/>
      <c r="P1022" s="5"/>
      <c r="Q1022"/>
      <c r="U1022"/>
    </row>
    <row r="1023" spans="2:21" x14ac:dyDescent="0.2">
      <c r="B1023" s="5"/>
      <c r="F1023" s="5"/>
      <c r="G1023" s="5"/>
      <c r="K1023" s="5"/>
      <c r="L1023" s="5"/>
      <c r="P1023" s="5"/>
      <c r="Q1023"/>
      <c r="U1023"/>
    </row>
    <row r="1024" spans="2:21" x14ac:dyDescent="0.2">
      <c r="B1024" s="5"/>
      <c r="F1024" s="5"/>
      <c r="G1024" s="5"/>
      <c r="K1024" s="5"/>
      <c r="L1024" s="5"/>
      <c r="P1024" s="5"/>
      <c r="Q1024"/>
      <c r="U1024"/>
    </row>
    <row r="1025" spans="2:21" x14ac:dyDescent="0.2">
      <c r="B1025" s="5"/>
      <c r="F1025" s="5"/>
      <c r="G1025" s="5"/>
      <c r="K1025" s="5"/>
      <c r="L1025" s="5"/>
      <c r="P1025" s="5"/>
      <c r="Q1025"/>
      <c r="U1025"/>
    </row>
    <row r="1026" spans="2:21" x14ac:dyDescent="0.2">
      <c r="B1026" s="5"/>
      <c r="F1026" s="5"/>
      <c r="G1026" s="5"/>
      <c r="K1026" s="5"/>
      <c r="L1026" s="5"/>
      <c r="P1026" s="5"/>
      <c r="Q1026"/>
      <c r="U1026"/>
    </row>
    <row r="1027" spans="2:21" x14ac:dyDescent="0.2">
      <c r="B1027" s="5"/>
      <c r="F1027" s="5"/>
      <c r="G1027" s="5"/>
      <c r="K1027" s="5"/>
      <c r="L1027" s="5"/>
      <c r="P1027" s="5"/>
      <c r="Q1027"/>
      <c r="U1027"/>
    </row>
    <row r="1028" spans="2:21" x14ac:dyDescent="0.2">
      <c r="B1028" s="5"/>
      <c r="F1028" s="5"/>
      <c r="G1028" s="5"/>
      <c r="K1028" s="5"/>
      <c r="L1028" s="5"/>
      <c r="P1028" s="5"/>
      <c r="Q1028"/>
      <c r="U1028"/>
    </row>
    <row r="1029" spans="2:21" x14ac:dyDescent="0.2">
      <c r="B1029" s="5"/>
      <c r="F1029" s="5"/>
      <c r="G1029" s="5"/>
      <c r="K1029" s="5"/>
      <c r="L1029" s="5"/>
      <c r="P1029" s="5"/>
      <c r="Q1029"/>
      <c r="U1029"/>
    </row>
    <row r="1030" spans="2:21" x14ac:dyDescent="0.2">
      <c r="B1030" s="5"/>
      <c r="F1030" s="5"/>
      <c r="G1030" s="5"/>
      <c r="K1030" s="5"/>
      <c r="L1030" s="5"/>
      <c r="P1030" s="5"/>
      <c r="Q1030"/>
      <c r="U1030"/>
    </row>
    <row r="1031" spans="2:21" x14ac:dyDescent="0.2">
      <c r="B1031" s="5"/>
      <c r="F1031" s="5"/>
      <c r="G1031" s="5"/>
      <c r="K1031" s="5"/>
      <c r="L1031" s="5"/>
      <c r="P1031" s="5"/>
      <c r="Q1031"/>
      <c r="U1031"/>
    </row>
    <row r="1032" spans="2:21" x14ac:dyDescent="0.2">
      <c r="B1032" s="5"/>
      <c r="F1032" s="5"/>
      <c r="G1032" s="5"/>
      <c r="K1032" s="5"/>
      <c r="L1032" s="5"/>
      <c r="P1032" s="5"/>
      <c r="Q1032"/>
      <c r="U1032"/>
    </row>
    <row r="1033" spans="2:21" x14ac:dyDescent="0.2">
      <c r="B1033" s="5"/>
      <c r="F1033" s="5"/>
      <c r="G1033" s="5"/>
      <c r="K1033" s="5"/>
      <c r="L1033" s="5"/>
      <c r="P1033" s="5"/>
      <c r="Q1033"/>
      <c r="U1033"/>
    </row>
    <row r="1034" spans="2:21" x14ac:dyDescent="0.2">
      <c r="B1034" s="5"/>
      <c r="F1034" s="5"/>
      <c r="G1034" s="5"/>
      <c r="K1034" s="5"/>
      <c r="L1034" s="5"/>
      <c r="P1034" s="5"/>
      <c r="Q1034"/>
      <c r="U1034"/>
    </row>
    <row r="1035" spans="2:21" x14ac:dyDescent="0.2">
      <c r="B1035" s="5"/>
      <c r="F1035" s="5"/>
      <c r="G1035" s="5"/>
      <c r="K1035" s="5"/>
      <c r="L1035" s="5"/>
      <c r="P1035" s="5"/>
      <c r="Q1035"/>
      <c r="U1035"/>
    </row>
    <row r="1036" spans="2:21" x14ac:dyDescent="0.2">
      <c r="B1036" s="5"/>
      <c r="F1036" s="5"/>
      <c r="G1036" s="5"/>
      <c r="K1036" s="5"/>
      <c r="L1036" s="5"/>
      <c r="P1036" s="5"/>
      <c r="Q1036"/>
      <c r="U1036"/>
    </row>
    <row r="1037" spans="2:21" x14ac:dyDescent="0.2">
      <c r="B1037" s="5"/>
      <c r="F1037" s="5"/>
      <c r="G1037" s="5"/>
      <c r="K1037" s="5"/>
      <c r="L1037" s="5"/>
      <c r="P1037" s="5"/>
      <c r="Q1037"/>
      <c r="U1037"/>
    </row>
    <row r="1038" spans="2:21" x14ac:dyDescent="0.2">
      <c r="B1038" s="5"/>
      <c r="F1038" s="5"/>
      <c r="G1038" s="5"/>
      <c r="K1038" s="5"/>
      <c r="L1038" s="5"/>
      <c r="P1038" s="5"/>
      <c r="Q1038"/>
      <c r="U1038"/>
    </row>
    <row r="1039" spans="2:21" x14ac:dyDescent="0.2">
      <c r="B1039" s="5"/>
      <c r="F1039" s="5"/>
      <c r="G1039" s="5"/>
      <c r="K1039" s="5"/>
      <c r="L1039" s="5"/>
      <c r="P1039" s="5"/>
      <c r="Q1039"/>
      <c r="U1039"/>
    </row>
    <row r="1040" spans="2:21" x14ac:dyDescent="0.2">
      <c r="B1040" s="5"/>
      <c r="F1040" s="5"/>
      <c r="G1040" s="5"/>
      <c r="K1040" s="5"/>
      <c r="L1040" s="5"/>
      <c r="P1040" s="5"/>
      <c r="Q1040"/>
      <c r="U1040"/>
    </row>
    <row r="1041" spans="2:21" x14ac:dyDescent="0.2">
      <c r="B1041" s="5"/>
      <c r="F1041" s="5"/>
      <c r="G1041" s="5"/>
      <c r="K1041" s="5"/>
      <c r="L1041" s="5"/>
      <c r="P1041" s="5"/>
      <c r="Q1041"/>
      <c r="U1041"/>
    </row>
    <row r="1042" spans="2:21" x14ac:dyDescent="0.2">
      <c r="B1042" s="5"/>
      <c r="F1042" s="5"/>
      <c r="G1042" s="5"/>
      <c r="K1042" s="5"/>
      <c r="L1042" s="5"/>
      <c r="P1042" s="5"/>
      <c r="Q1042"/>
      <c r="U1042"/>
    </row>
    <row r="1043" spans="2:21" x14ac:dyDescent="0.2">
      <c r="B1043" s="5"/>
      <c r="F1043" s="5"/>
      <c r="G1043" s="5"/>
      <c r="K1043" s="5"/>
      <c r="L1043" s="5"/>
      <c r="P1043" s="5"/>
      <c r="Q1043"/>
      <c r="U1043"/>
    </row>
    <row r="1044" spans="2:21" x14ac:dyDescent="0.2">
      <c r="B1044" s="5"/>
      <c r="F1044" s="5"/>
      <c r="G1044" s="5"/>
      <c r="K1044" s="5"/>
      <c r="L1044" s="5"/>
      <c r="P1044" s="5"/>
      <c r="Q1044"/>
      <c r="U1044"/>
    </row>
    <row r="1045" spans="2:21" x14ac:dyDescent="0.2">
      <c r="B1045" s="5"/>
      <c r="F1045" s="5"/>
      <c r="G1045" s="5"/>
      <c r="K1045" s="5"/>
      <c r="L1045" s="5"/>
      <c r="P1045" s="5"/>
      <c r="Q1045"/>
      <c r="U1045"/>
    </row>
    <row r="1046" spans="2:21" x14ac:dyDescent="0.2">
      <c r="B1046" s="5"/>
      <c r="F1046" s="5"/>
      <c r="G1046" s="5"/>
      <c r="K1046" s="5"/>
      <c r="L1046" s="5"/>
      <c r="P1046" s="5"/>
      <c r="Q1046"/>
      <c r="U1046"/>
    </row>
    <row r="1047" spans="2:21" x14ac:dyDescent="0.2">
      <c r="B1047" s="5"/>
      <c r="F1047" s="5"/>
      <c r="G1047" s="5"/>
      <c r="K1047" s="5"/>
      <c r="L1047" s="5"/>
      <c r="P1047" s="5"/>
      <c r="Q1047"/>
      <c r="U1047"/>
    </row>
    <row r="1048" spans="2:21" x14ac:dyDescent="0.2">
      <c r="B1048" s="5"/>
      <c r="F1048" s="5"/>
      <c r="G1048" s="5"/>
      <c r="K1048" s="5"/>
      <c r="L1048" s="5"/>
      <c r="P1048" s="5"/>
      <c r="Q1048"/>
      <c r="U1048"/>
    </row>
    <row r="1049" spans="2:21" x14ac:dyDescent="0.2">
      <c r="B1049" s="5"/>
      <c r="F1049" s="5"/>
      <c r="G1049" s="5"/>
      <c r="K1049" s="5"/>
      <c r="L1049" s="5"/>
      <c r="P1049" s="5"/>
      <c r="Q1049"/>
      <c r="U1049"/>
    </row>
    <row r="1050" spans="2:21" x14ac:dyDescent="0.2">
      <c r="B1050" s="5"/>
      <c r="F1050" s="5"/>
      <c r="G1050" s="5"/>
      <c r="K1050" s="5"/>
      <c r="L1050" s="5"/>
      <c r="P1050" s="5"/>
      <c r="Q1050"/>
      <c r="U1050"/>
    </row>
    <row r="1051" spans="2:21" x14ac:dyDescent="0.2">
      <c r="B1051" s="5"/>
      <c r="F1051" s="5"/>
      <c r="G1051" s="5"/>
      <c r="K1051" s="5"/>
      <c r="L1051" s="5"/>
      <c r="P1051" s="5"/>
      <c r="Q1051"/>
      <c r="U1051"/>
    </row>
    <row r="1052" spans="2:21" x14ac:dyDescent="0.2">
      <c r="B1052" s="5"/>
      <c r="F1052" s="5"/>
      <c r="G1052" s="5"/>
      <c r="K1052" s="5"/>
      <c r="L1052" s="5"/>
      <c r="P1052" s="5"/>
      <c r="Q1052"/>
      <c r="U1052"/>
    </row>
    <row r="1053" spans="2:21" x14ac:dyDescent="0.2">
      <c r="B1053" s="5"/>
      <c r="F1053" s="5"/>
      <c r="G1053" s="5"/>
      <c r="K1053" s="5"/>
      <c r="L1053" s="5"/>
      <c r="P1053" s="5"/>
      <c r="Q1053"/>
      <c r="U1053"/>
    </row>
    <row r="1054" spans="2:21" x14ac:dyDescent="0.2">
      <c r="B1054" s="5"/>
      <c r="F1054" s="5"/>
      <c r="G1054" s="5"/>
      <c r="K1054" s="5"/>
      <c r="L1054" s="5"/>
      <c r="P1054" s="5"/>
      <c r="Q1054"/>
      <c r="U1054"/>
    </row>
    <row r="1055" spans="2:21" x14ac:dyDescent="0.2">
      <c r="B1055" s="5"/>
      <c r="F1055" s="5"/>
      <c r="G1055" s="5"/>
      <c r="K1055" s="5"/>
      <c r="L1055" s="5"/>
      <c r="P1055" s="5"/>
      <c r="Q1055"/>
      <c r="U1055"/>
    </row>
    <row r="1056" spans="2:21" x14ac:dyDescent="0.2">
      <c r="B1056" s="5"/>
      <c r="F1056" s="5"/>
      <c r="G1056" s="5"/>
      <c r="K1056" s="5"/>
      <c r="L1056" s="5"/>
      <c r="P1056" s="5"/>
      <c r="Q1056"/>
      <c r="U1056"/>
    </row>
    <row r="1057" spans="2:21" x14ac:dyDescent="0.2">
      <c r="B1057" s="5"/>
      <c r="F1057" s="5"/>
      <c r="G1057" s="5"/>
      <c r="K1057" s="5"/>
      <c r="L1057" s="5"/>
      <c r="P1057" s="5"/>
      <c r="Q1057"/>
      <c r="U1057"/>
    </row>
    <row r="1058" spans="2:21" x14ac:dyDescent="0.2">
      <c r="B1058" s="5"/>
      <c r="F1058" s="5"/>
      <c r="G1058" s="5"/>
      <c r="K1058" s="5"/>
      <c r="L1058" s="5"/>
      <c r="P1058" s="5"/>
      <c r="Q1058"/>
      <c r="U1058"/>
    </row>
    <row r="1059" spans="2:21" x14ac:dyDescent="0.2">
      <c r="B1059" s="5"/>
      <c r="F1059" s="5"/>
      <c r="G1059" s="5"/>
      <c r="K1059" s="5"/>
      <c r="L1059" s="5"/>
      <c r="P1059" s="5"/>
      <c r="Q1059"/>
      <c r="U1059"/>
    </row>
    <row r="1060" spans="2:21" x14ac:dyDescent="0.2">
      <c r="B1060" s="5"/>
      <c r="F1060" s="5"/>
      <c r="G1060" s="5"/>
      <c r="K1060" s="5"/>
      <c r="L1060" s="5"/>
      <c r="P1060" s="5"/>
      <c r="Q1060"/>
      <c r="U1060"/>
    </row>
    <row r="1061" spans="2:21" x14ac:dyDescent="0.2">
      <c r="B1061" s="5"/>
      <c r="F1061" s="5"/>
      <c r="G1061" s="5"/>
      <c r="K1061" s="5"/>
      <c r="L1061" s="5"/>
      <c r="P1061" s="5"/>
      <c r="Q1061"/>
      <c r="U1061"/>
    </row>
    <row r="1062" spans="2:21" x14ac:dyDescent="0.2">
      <c r="B1062" s="5"/>
      <c r="F1062" s="5"/>
      <c r="G1062" s="5"/>
      <c r="K1062" s="5"/>
      <c r="L1062" s="5"/>
      <c r="P1062" s="5"/>
      <c r="Q1062"/>
      <c r="U1062"/>
    </row>
    <row r="1063" spans="2:21" x14ac:dyDescent="0.2">
      <c r="B1063" s="5"/>
      <c r="F1063" s="5"/>
      <c r="G1063" s="5"/>
      <c r="K1063" s="5"/>
      <c r="L1063" s="5"/>
      <c r="P1063" s="5"/>
      <c r="Q1063"/>
      <c r="U1063"/>
    </row>
    <row r="1064" spans="2:21" x14ac:dyDescent="0.2">
      <c r="B1064" s="5"/>
      <c r="F1064" s="5"/>
      <c r="G1064" s="5"/>
      <c r="K1064" s="5"/>
      <c r="L1064" s="5"/>
      <c r="P1064" s="5"/>
      <c r="Q1064"/>
      <c r="U1064"/>
    </row>
    <row r="1065" spans="2:21" x14ac:dyDescent="0.2">
      <c r="B1065" s="5"/>
      <c r="F1065" s="5"/>
      <c r="G1065" s="5"/>
      <c r="K1065" s="5"/>
      <c r="L1065" s="5"/>
      <c r="P1065" s="5"/>
      <c r="Q1065"/>
      <c r="U1065"/>
    </row>
    <row r="1066" spans="2:21" x14ac:dyDescent="0.2">
      <c r="B1066" s="5"/>
      <c r="F1066" s="5"/>
      <c r="G1066" s="5"/>
      <c r="K1066" s="5"/>
      <c r="L1066" s="5"/>
      <c r="P1066" s="5"/>
      <c r="Q1066"/>
      <c r="U1066"/>
    </row>
    <row r="1067" spans="2:21" x14ac:dyDescent="0.2">
      <c r="B1067" s="5"/>
      <c r="F1067" s="5"/>
      <c r="G1067" s="5"/>
      <c r="K1067" s="5"/>
      <c r="L1067" s="5"/>
      <c r="P1067" s="5"/>
      <c r="Q1067"/>
      <c r="U1067"/>
    </row>
    <row r="1068" spans="2:21" x14ac:dyDescent="0.2">
      <c r="B1068" s="5"/>
      <c r="F1068" s="5"/>
      <c r="G1068" s="5"/>
      <c r="K1068" s="5"/>
      <c r="L1068" s="5"/>
      <c r="P1068" s="5"/>
      <c r="Q1068"/>
      <c r="U1068"/>
    </row>
    <row r="1069" spans="2:21" x14ac:dyDescent="0.2">
      <c r="B1069" s="5"/>
      <c r="F1069" s="5"/>
      <c r="G1069" s="5"/>
      <c r="K1069" s="5"/>
      <c r="L1069" s="5"/>
      <c r="P1069" s="5"/>
      <c r="Q1069"/>
      <c r="U1069"/>
    </row>
    <row r="1070" spans="2:21" x14ac:dyDescent="0.2">
      <c r="B1070" s="5"/>
      <c r="F1070" s="5"/>
      <c r="G1070" s="5"/>
      <c r="K1070" s="5"/>
      <c r="L1070" s="5"/>
      <c r="P1070" s="5"/>
      <c r="Q1070"/>
      <c r="U1070"/>
    </row>
    <row r="1071" spans="2:21" x14ac:dyDescent="0.2">
      <c r="B1071" s="5"/>
      <c r="F1071" s="5"/>
      <c r="G1071" s="5"/>
      <c r="K1071" s="5"/>
      <c r="L1071" s="5"/>
      <c r="P1071" s="5"/>
      <c r="Q1071"/>
      <c r="U1071"/>
    </row>
    <row r="1072" spans="2:21" x14ac:dyDescent="0.2">
      <c r="B1072" s="5"/>
      <c r="F1072" s="5"/>
      <c r="G1072" s="5"/>
      <c r="K1072" s="5"/>
      <c r="L1072" s="5"/>
      <c r="P1072" s="5"/>
      <c r="Q1072"/>
      <c r="U1072"/>
    </row>
    <row r="1073" spans="2:21" x14ac:dyDescent="0.2">
      <c r="B1073" s="5"/>
      <c r="F1073" s="5"/>
      <c r="G1073" s="5"/>
      <c r="K1073" s="5"/>
      <c r="L1073" s="5"/>
      <c r="P1073" s="5"/>
      <c r="Q1073"/>
      <c r="U1073"/>
    </row>
    <row r="1074" spans="2:21" x14ac:dyDescent="0.2">
      <c r="B1074" s="5"/>
      <c r="F1074" s="5"/>
      <c r="G1074" s="5"/>
      <c r="K1074" s="5"/>
      <c r="L1074" s="5"/>
      <c r="P1074" s="5"/>
      <c r="Q1074"/>
      <c r="U1074"/>
    </row>
    <row r="1075" spans="2:21" x14ac:dyDescent="0.2">
      <c r="B1075" s="5"/>
      <c r="F1075" s="5"/>
      <c r="G1075" s="5"/>
      <c r="K1075" s="5"/>
      <c r="L1075" s="5"/>
      <c r="P1075" s="5"/>
      <c r="Q1075"/>
      <c r="U1075"/>
    </row>
    <row r="1076" spans="2:21" x14ac:dyDescent="0.2">
      <c r="B1076" s="5"/>
      <c r="F1076" s="5"/>
      <c r="G1076" s="5"/>
      <c r="K1076" s="5"/>
      <c r="L1076" s="5"/>
      <c r="P1076" s="5"/>
      <c r="Q1076"/>
      <c r="U1076"/>
    </row>
    <row r="1077" spans="2:21" x14ac:dyDescent="0.2">
      <c r="B1077" s="5"/>
      <c r="F1077" s="5"/>
      <c r="G1077" s="5"/>
      <c r="K1077" s="5"/>
      <c r="L1077" s="5"/>
      <c r="P1077" s="5"/>
      <c r="Q1077"/>
      <c r="U1077"/>
    </row>
    <row r="1078" spans="2:21" x14ac:dyDescent="0.2">
      <c r="B1078" s="5"/>
      <c r="F1078" s="5"/>
      <c r="G1078" s="5"/>
      <c r="K1078" s="5"/>
      <c r="L1078" s="5"/>
      <c r="P1078" s="5"/>
      <c r="Q1078"/>
      <c r="U1078"/>
    </row>
    <row r="1079" spans="2:21" x14ac:dyDescent="0.2">
      <c r="B1079" s="5"/>
      <c r="F1079" s="5"/>
      <c r="G1079" s="5"/>
      <c r="K1079" s="5"/>
      <c r="L1079" s="5"/>
      <c r="P1079" s="5"/>
      <c r="Q1079"/>
      <c r="U1079"/>
    </row>
    <row r="1080" spans="2:21" x14ac:dyDescent="0.2">
      <c r="B1080" s="5"/>
      <c r="F1080" s="5"/>
      <c r="G1080" s="5"/>
      <c r="K1080" s="5"/>
      <c r="L1080" s="5"/>
      <c r="P1080" s="5"/>
      <c r="Q1080"/>
      <c r="U1080"/>
    </row>
    <row r="1081" spans="2:21" x14ac:dyDescent="0.2">
      <c r="B1081" s="5"/>
      <c r="F1081" s="5"/>
      <c r="G1081" s="5"/>
      <c r="K1081" s="5"/>
      <c r="L1081" s="5"/>
      <c r="P1081" s="5"/>
      <c r="Q1081"/>
      <c r="U1081"/>
    </row>
    <row r="1082" spans="2:21" x14ac:dyDescent="0.2">
      <c r="B1082" s="5"/>
      <c r="F1082" s="5"/>
      <c r="G1082" s="5"/>
      <c r="K1082" s="5"/>
      <c r="L1082" s="5"/>
      <c r="P1082" s="5"/>
      <c r="Q1082"/>
      <c r="U1082"/>
    </row>
    <row r="1083" spans="2:21" x14ac:dyDescent="0.2">
      <c r="B1083" s="5"/>
      <c r="F1083" s="5"/>
      <c r="G1083" s="5"/>
      <c r="K1083" s="5"/>
      <c r="L1083" s="5"/>
      <c r="P1083" s="5"/>
      <c r="Q1083"/>
      <c r="U1083"/>
    </row>
    <row r="1084" spans="2:21" x14ac:dyDescent="0.2">
      <c r="B1084" s="5"/>
      <c r="F1084" s="5"/>
      <c r="G1084" s="5"/>
      <c r="K1084" s="5"/>
      <c r="L1084" s="5"/>
      <c r="P1084" s="5"/>
      <c r="Q1084"/>
      <c r="U1084"/>
    </row>
    <row r="1085" spans="2:21" x14ac:dyDescent="0.2">
      <c r="B1085" s="5"/>
      <c r="F1085" s="5"/>
      <c r="G1085" s="5"/>
      <c r="K1085" s="5"/>
      <c r="L1085" s="5"/>
      <c r="P1085" s="5"/>
      <c r="Q1085"/>
      <c r="U1085"/>
    </row>
    <row r="1086" spans="2:21" x14ac:dyDescent="0.2">
      <c r="B1086" s="5"/>
      <c r="F1086" s="5"/>
      <c r="G1086" s="5"/>
      <c r="K1086" s="5"/>
      <c r="L1086" s="5"/>
      <c r="P1086" s="5"/>
      <c r="Q1086"/>
      <c r="U1086"/>
    </row>
    <row r="1087" spans="2:21" x14ac:dyDescent="0.2">
      <c r="B1087" s="5"/>
      <c r="F1087" s="5"/>
      <c r="G1087" s="5"/>
      <c r="K1087" s="5"/>
      <c r="L1087" s="5"/>
      <c r="P1087" s="5"/>
      <c r="Q1087"/>
      <c r="U1087"/>
    </row>
    <row r="1088" spans="2:21" x14ac:dyDescent="0.2">
      <c r="B1088" s="5"/>
      <c r="F1088" s="5"/>
      <c r="G1088" s="5"/>
      <c r="K1088" s="5"/>
      <c r="L1088" s="5"/>
      <c r="P1088" s="5"/>
      <c r="Q1088"/>
      <c r="U1088"/>
    </row>
    <row r="1089" spans="2:21" x14ac:dyDescent="0.2">
      <c r="B1089" s="5"/>
      <c r="F1089" s="5"/>
      <c r="G1089" s="5"/>
      <c r="K1089" s="5"/>
      <c r="L1089" s="5"/>
      <c r="P1089" s="5"/>
      <c r="Q1089"/>
      <c r="U1089"/>
    </row>
    <row r="1090" spans="2:21" x14ac:dyDescent="0.2">
      <c r="B1090" s="5"/>
      <c r="F1090" s="5"/>
      <c r="G1090" s="5"/>
      <c r="K1090" s="5"/>
      <c r="L1090" s="5"/>
      <c r="P1090" s="5"/>
      <c r="Q1090"/>
      <c r="U1090"/>
    </row>
    <row r="1091" spans="2:21" x14ac:dyDescent="0.2">
      <c r="B1091" s="5"/>
      <c r="F1091" s="5"/>
      <c r="G1091" s="5"/>
      <c r="K1091" s="5"/>
      <c r="L1091" s="5"/>
      <c r="P1091" s="5"/>
      <c r="Q1091"/>
      <c r="U1091"/>
    </row>
    <row r="1092" spans="2:21" x14ac:dyDescent="0.2">
      <c r="B1092" s="5"/>
      <c r="F1092" s="5"/>
      <c r="G1092" s="5"/>
      <c r="K1092" s="5"/>
      <c r="L1092" s="5"/>
      <c r="P1092" s="5"/>
      <c r="Q1092"/>
      <c r="U1092"/>
    </row>
    <row r="1093" spans="2:21" x14ac:dyDescent="0.2">
      <c r="B1093" s="5"/>
      <c r="F1093" s="5"/>
      <c r="G1093" s="5"/>
      <c r="K1093" s="5"/>
      <c r="L1093" s="5"/>
      <c r="P1093" s="5"/>
      <c r="Q1093"/>
      <c r="U1093"/>
    </row>
    <row r="1094" spans="2:21" x14ac:dyDescent="0.2">
      <c r="B1094" s="5"/>
      <c r="F1094" s="5"/>
      <c r="G1094" s="5"/>
      <c r="K1094" s="5"/>
      <c r="L1094" s="5"/>
      <c r="P1094" s="5"/>
      <c r="Q1094"/>
      <c r="U1094"/>
    </row>
    <row r="1095" spans="2:21" x14ac:dyDescent="0.2">
      <c r="B1095" s="5"/>
      <c r="F1095" s="5"/>
      <c r="G1095" s="5"/>
      <c r="K1095" s="5"/>
      <c r="L1095" s="5"/>
      <c r="P1095" s="5"/>
      <c r="Q1095"/>
      <c r="U1095"/>
    </row>
    <row r="1096" spans="2:21" x14ac:dyDescent="0.2">
      <c r="B1096" s="5"/>
      <c r="F1096" s="5"/>
      <c r="G1096" s="5"/>
      <c r="K1096" s="5"/>
      <c r="L1096" s="5"/>
      <c r="P1096" s="5"/>
      <c r="Q1096"/>
      <c r="U1096"/>
    </row>
    <row r="1097" spans="2:21" x14ac:dyDescent="0.2">
      <c r="B1097" s="5"/>
      <c r="F1097" s="5"/>
      <c r="G1097" s="5"/>
      <c r="K1097" s="5"/>
      <c r="L1097" s="5"/>
      <c r="P1097" s="5"/>
      <c r="Q1097"/>
      <c r="U1097"/>
    </row>
    <row r="1098" spans="2:21" x14ac:dyDescent="0.2">
      <c r="B1098" s="5"/>
      <c r="F1098" s="5"/>
      <c r="G1098" s="5"/>
      <c r="K1098" s="5"/>
      <c r="L1098" s="5"/>
      <c r="P1098" s="5"/>
      <c r="Q1098"/>
      <c r="U1098"/>
    </row>
    <row r="1099" spans="2:21" x14ac:dyDescent="0.2">
      <c r="B1099" s="5"/>
      <c r="F1099" s="5"/>
      <c r="G1099" s="5"/>
      <c r="K1099" s="5"/>
      <c r="L1099" s="5"/>
      <c r="P1099" s="5"/>
      <c r="Q1099"/>
      <c r="U1099"/>
    </row>
    <row r="1100" spans="2:21" x14ac:dyDescent="0.2">
      <c r="B1100" s="5"/>
      <c r="F1100" s="5"/>
      <c r="G1100" s="5"/>
      <c r="K1100" s="5"/>
      <c r="L1100" s="5"/>
      <c r="P1100" s="5"/>
      <c r="Q1100"/>
      <c r="U1100"/>
    </row>
    <row r="1101" spans="2:21" x14ac:dyDescent="0.2">
      <c r="B1101" s="5"/>
      <c r="F1101" s="5"/>
      <c r="G1101" s="5"/>
      <c r="K1101" s="5"/>
      <c r="L1101" s="5"/>
      <c r="P1101" s="5"/>
      <c r="Q1101"/>
      <c r="U1101"/>
    </row>
    <row r="1102" spans="2:21" x14ac:dyDescent="0.2">
      <c r="B1102" s="5"/>
      <c r="F1102" s="5"/>
      <c r="G1102" s="5"/>
      <c r="K1102" s="5"/>
      <c r="L1102" s="5"/>
      <c r="P1102" s="5"/>
      <c r="Q1102"/>
      <c r="U1102"/>
    </row>
    <row r="1103" spans="2:21" x14ac:dyDescent="0.2">
      <c r="B1103" s="5"/>
      <c r="F1103" s="5"/>
      <c r="G1103" s="5"/>
      <c r="K1103" s="5"/>
      <c r="L1103" s="5"/>
      <c r="P1103" s="5"/>
      <c r="Q1103"/>
      <c r="U1103"/>
    </row>
    <row r="1104" spans="2:21" x14ac:dyDescent="0.2">
      <c r="B1104" s="5"/>
      <c r="F1104" s="5"/>
      <c r="G1104" s="5"/>
      <c r="K1104" s="5"/>
      <c r="L1104" s="5"/>
      <c r="P1104" s="5"/>
      <c r="Q1104"/>
      <c r="U1104"/>
    </row>
    <row r="1105" spans="2:21" x14ac:dyDescent="0.2">
      <c r="B1105" s="5"/>
      <c r="F1105" s="5"/>
      <c r="G1105" s="5"/>
      <c r="K1105" s="5"/>
      <c r="L1105" s="5"/>
      <c r="P1105" s="5"/>
      <c r="Q1105"/>
      <c r="U1105"/>
    </row>
    <row r="1106" spans="2:21" x14ac:dyDescent="0.2">
      <c r="B1106" s="5"/>
      <c r="F1106" s="5"/>
      <c r="G1106" s="5"/>
      <c r="K1106" s="5"/>
      <c r="L1106" s="5"/>
      <c r="P1106" s="5"/>
      <c r="Q1106"/>
      <c r="U1106"/>
    </row>
    <row r="1107" spans="2:21" x14ac:dyDescent="0.2">
      <c r="B1107" s="5"/>
      <c r="F1107" s="5"/>
      <c r="G1107" s="5"/>
      <c r="K1107" s="5"/>
      <c r="L1107" s="5"/>
      <c r="P1107" s="5"/>
      <c r="Q1107"/>
      <c r="U1107"/>
    </row>
    <row r="1108" spans="2:21" x14ac:dyDescent="0.2">
      <c r="B1108" s="5"/>
      <c r="F1108" s="5"/>
      <c r="G1108" s="5"/>
      <c r="K1108" s="5"/>
      <c r="L1108" s="5"/>
      <c r="P1108" s="5"/>
      <c r="Q1108"/>
      <c r="U1108"/>
    </row>
    <row r="1109" spans="2:21" x14ac:dyDescent="0.2">
      <c r="B1109" s="5"/>
      <c r="F1109" s="5"/>
      <c r="G1109" s="5"/>
      <c r="K1109" s="5"/>
      <c r="L1109" s="5"/>
      <c r="P1109" s="5"/>
      <c r="Q1109"/>
      <c r="U1109"/>
    </row>
    <row r="1110" spans="2:21" x14ac:dyDescent="0.2">
      <c r="B1110" s="5"/>
      <c r="F1110" s="5"/>
      <c r="G1110" s="5"/>
      <c r="K1110" s="5"/>
      <c r="L1110" s="5"/>
      <c r="P1110" s="5"/>
      <c r="Q1110"/>
      <c r="U1110"/>
    </row>
    <row r="1111" spans="2:21" x14ac:dyDescent="0.2">
      <c r="B1111" s="5"/>
      <c r="F1111" s="5"/>
      <c r="G1111" s="5"/>
      <c r="K1111" s="5"/>
      <c r="L1111" s="5"/>
      <c r="P1111" s="5"/>
      <c r="Q1111"/>
      <c r="U1111"/>
    </row>
    <row r="1112" spans="2:21" x14ac:dyDescent="0.2">
      <c r="B1112" s="5"/>
      <c r="F1112" s="5"/>
      <c r="G1112" s="5"/>
      <c r="K1112" s="5"/>
      <c r="L1112" s="5"/>
      <c r="P1112" s="5"/>
      <c r="Q1112"/>
      <c r="U1112"/>
    </row>
    <row r="1113" spans="2:21" x14ac:dyDescent="0.2">
      <c r="B1113" s="5"/>
      <c r="F1113" s="5"/>
      <c r="G1113" s="5"/>
      <c r="K1113" s="5"/>
      <c r="L1113" s="5"/>
      <c r="P1113" s="5"/>
      <c r="Q1113"/>
      <c r="U1113"/>
    </row>
    <row r="1114" spans="2:21" x14ac:dyDescent="0.2">
      <c r="B1114" s="5"/>
      <c r="F1114" s="5"/>
      <c r="G1114" s="5"/>
      <c r="K1114" s="5"/>
      <c r="L1114" s="5"/>
      <c r="P1114" s="5"/>
      <c r="Q1114"/>
      <c r="U1114"/>
    </row>
    <row r="1115" spans="2:21" x14ac:dyDescent="0.2">
      <c r="B1115" s="5"/>
      <c r="F1115" s="5"/>
      <c r="G1115" s="5"/>
      <c r="K1115" s="5"/>
      <c r="L1115" s="5"/>
      <c r="P1115" s="5"/>
      <c r="Q1115"/>
      <c r="U1115"/>
    </row>
    <row r="1116" spans="2:21" x14ac:dyDescent="0.2">
      <c r="B1116" s="5"/>
      <c r="F1116" s="5"/>
      <c r="G1116" s="5"/>
      <c r="K1116" s="5"/>
      <c r="L1116" s="5"/>
      <c r="P1116" s="5"/>
      <c r="Q1116"/>
      <c r="U1116"/>
    </row>
    <row r="1117" spans="2:21" x14ac:dyDescent="0.2">
      <c r="B1117" s="5"/>
      <c r="F1117" s="5"/>
      <c r="G1117" s="5"/>
      <c r="K1117" s="5"/>
      <c r="L1117" s="5"/>
      <c r="P1117" s="5"/>
      <c r="Q1117"/>
      <c r="U1117"/>
    </row>
    <row r="1118" spans="2:21" x14ac:dyDescent="0.2">
      <c r="B1118" s="5"/>
      <c r="F1118" s="5"/>
      <c r="G1118" s="5"/>
      <c r="K1118" s="5"/>
      <c r="L1118" s="5"/>
      <c r="P1118" s="5"/>
      <c r="Q1118"/>
      <c r="U1118"/>
    </row>
    <row r="1119" spans="2:21" x14ac:dyDescent="0.2">
      <c r="B1119" s="5"/>
      <c r="F1119" s="5"/>
      <c r="G1119" s="5"/>
      <c r="K1119" s="5"/>
      <c r="L1119" s="5"/>
      <c r="P1119" s="5"/>
      <c r="Q1119"/>
      <c r="U1119"/>
    </row>
    <row r="1120" spans="2:21" x14ac:dyDescent="0.2">
      <c r="B1120" s="5"/>
      <c r="F1120" s="5"/>
      <c r="G1120" s="5"/>
      <c r="K1120" s="5"/>
      <c r="L1120" s="5"/>
      <c r="P1120" s="5"/>
      <c r="Q1120"/>
      <c r="U1120"/>
    </row>
    <row r="1121" spans="2:21" x14ac:dyDescent="0.2">
      <c r="B1121" s="5"/>
      <c r="F1121" s="5"/>
      <c r="G1121" s="5"/>
      <c r="K1121" s="5"/>
      <c r="L1121" s="5"/>
      <c r="P1121" s="5"/>
      <c r="Q1121"/>
      <c r="U1121"/>
    </row>
    <row r="1122" spans="2:21" x14ac:dyDescent="0.2">
      <c r="B1122" s="5"/>
      <c r="F1122" s="5"/>
      <c r="G1122" s="5"/>
      <c r="K1122" s="5"/>
      <c r="L1122" s="5"/>
      <c r="P1122" s="5"/>
      <c r="Q1122"/>
      <c r="U1122"/>
    </row>
    <row r="1123" spans="2:21" x14ac:dyDescent="0.2">
      <c r="B1123" s="5"/>
      <c r="F1123" s="5"/>
      <c r="G1123" s="5"/>
      <c r="K1123" s="5"/>
      <c r="L1123" s="5"/>
      <c r="P1123" s="5"/>
      <c r="Q1123"/>
      <c r="U1123"/>
    </row>
    <row r="1124" spans="2:21" x14ac:dyDescent="0.2">
      <c r="B1124" s="5"/>
      <c r="F1124" s="5"/>
      <c r="G1124" s="5"/>
      <c r="K1124" s="5"/>
      <c r="L1124" s="5"/>
      <c r="P1124" s="5"/>
      <c r="Q1124"/>
      <c r="U1124"/>
    </row>
    <row r="1125" spans="2:21" x14ac:dyDescent="0.2">
      <c r="B1125" s="5"/>
      <c r="F1125" s="5"/>
      <c r="G1125" s="5"/>
      <c r="K1125" s="5"/>
      <c r="L1125" s="5"/>
      <c r="P1125" s="5"/>
      <c r="Q1125"/>
      <c r="U1125"/>
    </row>
    <row r="1126" spans="2:21" x14ac:dyDescent="0.2">
      <c r="B1126" s="5"/>
      <c r="F1126" s="5"/>
      <c r="G1126" s="5"/>
      <c r="K1126" s="5"/>
      <c r="L1126" s="5"/>
      <c r="P1126" s="5"/>
      <c r="Q1126"/>
      <c r="U1126"/>
    </row>
    <row r="1127" spans="2:21" x14ac:dyDescent="0.2">
      <c r="B1127" s="5"/>
      <c r="F1127" s="5"/>
      <c r="G1127" s="5"/>
      <c r="K1127" s="5"/>
      <c r="L1127" s="5"/>
      <c r="P1127" s="5"/>
      <c r="Q1127"/>
      <c r="U1127"/>
    </row>
    <row r="1128" spans="2:21" x14ac:dyDescent="0.2">
      <c r="B1128" s="5"/>
      <c r="F1128" s="5"/>
      <c r="G1128" s="5"/>
      <c r="K1128" s="5"/>
      <c r="L1128" s="5"/>
      <c r="P1128" s="5"/>
      <c r="Q1128"/>
      <c r="U1128"/>
    </row>
    <row r="1129" spans="2:21" x14ac:dyDescent="0.2">
      <c r="B1129" s="5"/>
      <c r="F1129" s="5"/>
      <c r="G1129" s="5"/>
      <c r="K1129" s="5"/>
      <c r="L1129" s="5"/>
      <c r="P1129" s="5"/>
      <c r="Q1129"/>
      <c r="U1129"/>
    </row>
    <row r="1130" spans="2:21" x14ac:dyDescent="0.2">
      <c r="B1130" s="5"/>
      <c r="F1130" s="5"/>
      <c r="G1130" s="5"/>
      <c r="K1130" s="5"/>
      <c r="L1130" s="5"/>
      <c r="P1130" s="5"/>
      <c r="Q1130"/>
      <c r="U1130"/>
    </row>
    <row r="1131" spans="2:21" x14ac:dyDescent="0.2">
      <c r="B1131" s="5"/>
      <c r="F1131" s="5"/>
      <c r="G1131" s="5"/>
      <c r="K1131" s="5"/>
      <c r="L1131" s="5"/>
      <c r="P1131" s="5"/>
      <c r="Q1131"/>
      <c r="U1131"/>
    </row>
    <row r="1132" spans="2:21" x14ac:dyDescent="0.2">
      <c r="B1132" s="5"/>
      <c r="F1132" s="5"/>
      <c r="G1132" s="5"/>
      <c r="K1132" s="5"/>
      <c r="L1132" s="5"/>
      <c r="P1132" s="5"/>
      <c r="Q1132"/>
      <c r="U1132"/>
    </row>
    <row r="1133" spans="2:21" x14ac:dyDescent="0.2">
      <c r="B1133" s="5"/>
      <c r="F1133" s="5"/>
      <c r="G1133" s="5"/>
      <c r="K1133" s="5"/>
      <c r="L1133" s="5"/>
      <c r="P1133" s="5"/>
      <c r="Q1133"/>
      <c r="U1133"/>
    </row>
    <row r="1134" spans="2:21" x14ac:dyDescent="0.2">
      <c r="B1134" s="5"/>
      <c r="F1134" s="5"/>
      <c r="G1134" s="5"/>
      <c r="K1134" s="5"/>
      <c r="L1134" s="5"/>
      <c r="P1134" s="5"/>
      <c r="Q1134"/>
      <c r="U1134"/>
    </row>
    <row r="1135" spans="2:21" x14ac:dyDescent="0.2">
      <c r="B1135" s="5"/>
      <c r="F1135" s="5"/>
      <c r="G1135" s="5"/>
      <c r="K1135" s="5"/>
      <c r="L1135" s="5"/>
      <c r="P1135" s="5"/>
      <c r="Q1135"/>
      <c r="U1135"/>
    </row>
    <row r="1136" spans="2:21" x14ac:dyDescent="0.2">
      <c r="B1136" s="5"/>
      <c r="F1136" s="5"/>
      <c r="G1136" s="5"/>
      <c r="K1136" s="5"/>
      <c r="L1136" s="5"/>
      <c r="P1136" s="5"/>
      <c r="Q1136"/>
      <c r="U1136"/>
    </row>
    <row r="1137" spans="2:21" x14ac:dyDescent="0.2">
      <c r="B1137" s="5"/>
      <c r="F1137" s="5"/>
      <c r="G1137" s="5"/>
      <c r="K1137" s="5"/>
      <c r="L1137" s="5"/>
      <c r="P1137" s="5"/>
      <c r="Q1137"/>
      <c r="U1137"/>
    </row>
    <row r="1138" spans="2:21" x14ac:dyDescent="0.2">
      <c r="B1138" s="5"/>
      <c r="F1138" s="5"/>
      <c r="G1138" s="5"/>
      <c r="K1138" s="5"/>
      <c r="L1138" s="5"/>
      <c r="P1138" s="5"/>
      <c r="Q1138"/>
      <c r="U1138"/>
    </row>
    <row r="1139" spans="2:21" x14ac:dyDescent="0.2">
      <c r="B1139" s="5"/>
      <c r="F1139" s="5"/>
      <c r="G1139" s="5"/>
      <c r="K1139" s="5"/>
      <c r="L1139" s="5"/>
      <c r="P1139" s="5"/>
      <c r="Q1139"/>
      <c r="U1139"/>
    </row>
    <row r="1140" spans="2:21" x14ac:dyDescent="0.2">
      <c r="B1140" s="5"/>
      <c r="F1140" s="5"/>
      <c r="G1140" s="5"/>
      <c r="K1140" s="5"/>
      <c r="L1140" s="5"/>
      <c r="P1140" s="5"/>
      <c r="Q1140"/>
      <c r="U1140"/>
    </row>
    <row r="1141" spans="2:21" x14ac:dyDescent="0.2">
      <c r="B1141" s="5"/>
      <c r="F1141" s="5"/>
      <c r="G1141" s="5"/>
      <c r="K1141" s="5"/>
      <c r="L1141" s="5"/>
      <c r="P1141" s="5"/>
      <c r="Q1141"/>
      <c r="U1141"/>
    </row>
    <row r="1142" spans="2:21" x14ac:dyDescent="0.2">
      <c r="B1142" s="5"/>
      <c r="F1142" s="5"/>
      <c r="G1142" s="5"/>
      <c r="K1142" s="5"/>
      <c r="L1142" s="5"/>
      <c r="P1142" s="5"/>
      <c r="Q1142"/>
      <c r="U1142"/>
    </row>
    <row r="1143" spans="2:21" x14ac:dyDescent="0.2">
      <c r="B1143" s="5"/>
      <c r="F1143" s="5"/>
      <c r="G1143" s="5"/>
      <c r="K1143" s="5"/>
      <c r="L1143" s="5"/>
      <c r="P1143" s="5"/>
      <c r="Q1143"/>
      <c r="U1143"/>
    </row>
    <row r="1144" spans="2:21" x14ac:dyDescent="0.2">
      <c r="B1144" s="5"/>
      <c r="F1144" s="5"/>
      <c r="G1144" s="5"/>
      <c r="K1144" s="5"/>
      <c r="L1144" s="5"/>
      <c r="P1144" s="5"/>
      <c r="Q1144"/>
      <c r="U1144"/>
    </row>
    <row r="1145" spans="2:21" x14ac:dyDescent="0.2">
      <c r="B1145" s="5"/>
      <c r="F1145" s="5"/>
      <c r="G1145" s="5"/>
      <c r="K1145" s="5"/>
      <c r="L1145" s="5"/>
      <c r="P1145" s="5"/>
      <c r="Q1145"/>
      <c r="U1145"/>
    </row>
    <row r="1146" spans="2:21" x14ac:dyDescent="0.2">
      <c r="B1146" s="5"/>
      <c r="F1146" s="5"/>
      <c r="G1146" s="5"/>
      <c r="K1146" s="5"/>
      <c r="L1146" s="5"/>
      <c r="P1146" s="5"/>
      <c r="Q1146"/>
      <c r="U1146"/>
    </row>
    <row r="1147" spans="2:21" x14ac:dyDescent="0.2">
      <c r="B1147" s="5"/>
      <c r="F1147" s="5"/>
      <c r="G1147" s="5"/>
      <c r="K1147" s="5"/>
      <c r="L1147" s="5"/>
      <c r="P1147" s="5"/>
      <c r="Q1147"/>
      <c r="U1147"/>
    </row>
    <row r="1148" spans="2:21" x14ac:dyDescent="0.2">
      <c r="B1148" s="5"/>
      <c r="F1148" s="5"/>
      <c r="G1148" s="5"/>
      <c r="K1148" s="5"/>
      <c r="L1148" s="5"/>
      <c r="P1148" s="5"/>
      <c r="Q1148"/>
      <c r="U1148"/>
    </row>
    <row r="1149" spans="2:21" x14ac:dyDescent="0.2">
      <c r="B1149" s="5"/>
      <c r="F1149" s="5"/>
      <c r="G1149" s="5"/>
      <c r="K1149" s="5"/>
      <c r="L1149" s="5"/>
      <c r="P1149" s="5"/>
      <c r="Q1149"/>
      <c r="U1149"/>
    </row>
    <row r="1150" spans="2:21" x14ac:dyDescent="0.2">
      <c r="B1150" s="5"/>
      <c r="F1150" s="5"/>
      <c r="G1150" s="5"/>
      <c r="K1150" s="5"/>
      <c r="L1150" s="5"/>
      <c r="P1150" s="5"/>
      <c r="Q1150"/>
      <c r="U1150"/>
    </row>
    <row r="1151" spans="2:21" x14ac:dyDescent="0.2">
      <c r="B1151" s="5"/>
      <c r="F1151" s="5"/>
      <c r="G1151" s="5"/>
      <c r="K1151" s="5"/>
      <c r="L1151" s="5"/>
      <c r="P1151" s="5"/>
      <c r="Q1151"/>
      <c r="U1151"/>
    </row>
    <row r="1152" spans="2:21" x14ac:dyDescent="0.2">
      <c r="B1152" s="5"/>
      <c r="F1152" s="5"/>
      <c r="G1152" s="5"/>
      <c r="K1152" s="5"/>
      <c r="L1152" s="5"/>
      <c r="P1152" s="5"/>
      <c r="Q1152"/>
      <c r="U1152"/>
    </row>
    <row r="1153" spans="2:21" x14ac:dyDescent="0.2">
      <c r="B1153" s="5"/>
      <c r="F1153" s="5"/>
      <c r="G1153" s="5"/>
      <c r="K1153" s="5"/>
      <c r="L1153" s="5"/>
      <c r="P1153" s="5"/>
      <c r="Q1153"/>
      <c r="U1153"/>
    </row>
    <row r="1154" spans="2:21" x14ac:dyDescent="0.2">
      <c r="B1154" s="5"/>
      <c r="F1154" s="5"/>
      <c r="G1154" s="5"/>
      <c r="K1154" s="5"/>
      <c r="L1154" s="5"/>
      <c r="P1154" s="5"/>
      <c r="Q1154"/>
      <c r="U1154"/>
    </row>
    <row r="1155" spans="2:21" x14ac:dyDescent="0.2">
      <c r="B1155" s="5"/>
      <c r="F1155" s="5"/>
      <c r="G1155" s="5"/>
      <c r="K1155" s="5"/>
      <c r="L1155" s="5"/>
      <c r="P1155" s="5"/>
      <c r="Q1155"/>
      <c r="U1155"/>
    </row>
    <row r="1156" spans="2:21" x14ac:dyDescent="0.2">
      <c r="B1156" s="5"/>
      <c r="F1156" s="5"/>
      <c r="G1156" s="5"/>
      <c r="K1156" s="5"/>
      <c r="L1156" s="5"/>
      <c r="P1156" s="5"/>
      <c r="Q1156"/>
      <c r="U1156"/>
    </row>
    <row r="1157" spans="2:21" x14ac:dyDescent="0.2">
      <c r="B1157" s="5"/>
      <c r="F1157" s="5"/>
      <c r="G1157" s="5"/>
      <c r="K1157" s="5"/>
      <c r="L1157" s="5"/>
      <c r="P1157" s="5"/>
      <c r="Q1157"/>
      <c r="U1157"/>
    </row>
    <row r="1158" spans="2:21" x14ac:dyDescent="0.2">
      <c r="B1158" s="5"/>
      <c r="F1158" s="5"/>
      <c r="G1158" s="5"/>
      <c r="K1158" s="5"/>
      <c r="L1158" s="5"/>
      <c r="P1158" s="5"/>
      <c r="Q1158"/>
      <c r="U1158"/>
    </row>
    <row r="1159" spans="2:21" x14ac:dyDescent="0.2">
      <c r="B1159" s="5"/>
      <c r="F1159" s="5"/>
      <c r="G1159" s="5"/>
      <c r="K1159" s="5"/>
      <c r="L1159" s="5"/>
      <c r="P1159" s="5"/>
      <c r="Q1159"/>
      <c r="U1159"/>
    </row>
    <row r="1160" spans="2:21" x14ac:dyDescent="0.2">
      <c r="B1160" s="5"/>
      <c r="F1160" s="5"/>
      <c r="G1160" s="5"/>
      <c r="K1160" s="5"/>
      <c r="L1160" s="5"/>
      <c r="P1160" s="5"/>
      <c r="Q1160"/>
      <c r="U1160"/>
    </row>
    <row r="1161" spans="2:21" x14ac:dyDescent="0.2">
      <c r="B1161" s="5"/>
      <c r="F1161" s="5"/>
      <c r="G1161" s="5"/>
      <c r="K1161" s="5"/>
      <c r="L1161" s="5"/>
      <c r="P1161" s="5"/>
      <c r="Q1161"/>
      <c r="U1161"/>
    </row>
    <row r="1162" spans="2:21" x14ac:dyDescent="0.2">
      <c r="B1162" s="5"/>
      <c r="F1162" s="5"/>
      <c r="G1162" s="5"/>
      <c r="K1162" s="5"/>
      <c r="L1162" s="5"/>
      <c r="P1162" s="5"/>
      <c r="Q1162"/>
      <c r="U1162"/>
    </row>
    <row r="1163" spans="2:21" x14ac:dyDescent="0.2">
      <c r="B1163" s="5"/>
      <c r="F1163" s="5"/>
      <c r="G1163" s="5"/>
      <c r="K1163" s="5"/>
      <c r="L1163" s="5"/>
      <c r="P1163" s="5"/>
      <c r="Q1163"/>
      <c r="U1163"/>
    </row>
    <row r="1164" spans="2:21" x14ac:dyDescent="0.2">
      <c r="B1164" s="5"/>
      <c r="F1164" s="5"/>
      <c r="G1164" s="5"/>
      <c r="K1164" s="5"/>
      <c r="L1164" s="5"/>
      <c r="P1164" s="5"/>
      <c r="Q1164"/>
      <c r="U1164"/>
    </row>
    <row r="1165" spans="2:21" x14ac:dyDescent="0.2">
      <c r="B1165" s="5"/>
      <c r="F1165" s="5"/>
      <c r="G1165" s="5"/>
      <c r="K1165" s="5"/>
      <c r="L1165" s="5"/>
      <c r="P1165" s="5"/>
      <c r="Q1165"/>
      <c r="U1165"/>
    </row>
    <row r="1166" spans="2:21" x14ac:dyDescent="0.2">
      <c r="B1166" s="5"/>
      <c r="F1166" s="5"/>
      <c r="G1166" s="5"/>
      <c r="K1166" s="5"/>
      <c r="L1166" s="5"/>
      <c r="P1166" s="5"/>
      <c r="Q1166"/>
      <c r="U1166"/>
    </row>
    <row r="1167" spans="2:21" x14ac:dyDescent="0.2">
      <c r="B1167" s="5"/>
      <c r="F1167" s="5"/>
      <c r="G1167" s="5"/>
      <c r="K1167" s="5"/>
      <c r="L1167" s="5"/>
      <c r="P1167" s="5"/>
      <c r="Q1167"/>
      <c r="U1167"/>
    </row>
    <row r="1168" spans="2:21" x14ac:dyDescent="0.2">
      <c r="B1168" s="5"/>
      <c r="F1168" s="5"/>
      <c r="G1168" s="5"/>
      <c r="K1168" s="5"/>
      <c r="L1168" s="5"/>
      <c r="P1168" s="5"/>
      <c r="Q1168"/>
      <c r="U1168"/>
    </row>
    <row r="1169" spans="2:21" x14ac:dyDescent="0.2">
      <c r="B1169" s="5"/>
      <c r="F1169" s="5"/>
      <c r="G1169" s="5"/>
      <c r="K1169" s="5"/>
      <c r="L1169" s="5"/>
      <c r="P1169" s="5"/>
      <c r="Q1169"/>
      <c r="U1169"/>
    </row>
    <row r="1170" spans="2:21" x14ac:dyDescent="0.2">
      <c r="B1170" s="5"/>
      <c r="F1170" s="5"/>
      <c r="G1170" s="5"/>
      <c r="K1170" s="5"/>
      <c r="L1170" s="5"/>
      <c r="P1170" s="5"/>
      <c r="Q1170"/>
      <c r="U1170"/>
    </row>
    <row r="1171" spans="2:21" x14ac:dyDescent="0.2">
      <c r="B1171" s="5"/>
      <c r="F1171" s="5"/>
      <c r="G1171" s="5"/>
      <c r="K1171" s="5"/>
      <c r="L1171" s="5"/>
      <c r="P1171" s="5"/>
      <c r="Q1171"/>
      <c r="U1171"/>
    </row>
    <row r="1172" spans="2:21" x14ac:dyDescent="0.2">
      <c r="B1172" s="5"/>
      <c r="F1172" s="5"/>
      <c r="G1172" s="5"/>
      <c r="K1172" s="5"/>
      <c r="L1172" s="5"/>
      <c r="P1172" s="5"/>
      <c r="Q1172"/>
      <c r="U1172"/>
    </row>
    <row r="1173" spans="2:21" x14ac:dyDescent="0.2">
      <c r="B1173" s="5"/>
      <c r="F1173" s="5"/>
      <c r="G1173" s="5"/>
      <c r="K1173" s="5"/>
      <c r="L1173" s="5"/>
      <c r="P1173" s="5"/>
      <c r="Q1173"/>
      <c r="U1173"/>
    </row>
    <row r="1174" spans="2:21" x14ac:dyDescent="0.2">
      <c r="B1174" s="5"/>
      <c r="F1174" s="5"/>
      <c r="G1174" s="5"/>
      <c r="K1174" s="5"/>
      <c r="L1174" s="5"/>
      <c r="P1174" s="5"/>
      <c r="Q1174"/>
      <c r="U1174"/>
    </row>
    <row r="1175" spans="2:21" x14ac:dyDescent="0.2">
      <c r="B1175" s="5"/>
      <c r="F1175" s="5"/>
      <c r="G1175" s="5"/>
      <c r="K1175" s="5"/>
      <c r="L1175" s="5"/>
      <c r="P1175" s="5"/>
      <c r="Q1175"/>
      <c r="U1175"/>
    </row>
    <row r="1176" spans="2:21" x14ac:dyDescent="0.2">
      <c r="B1176" s="5"/>
      <c r="F1176" s="5"/>
      <c r="G1176" s="5"/>
      <c r="K1176" s="5"/>
      <c r="L1176" s="5"/>
      <c r="P1176" s="5"/>
      <c r="Q1176"/>
      <c r="U1176"/>
    </row>
    <row r="1177" spans="2:21" x14ac:dyDescent="0.2">
      <c r="B1177" s="5"/>
      <c r="F1177" s="5"/>
      <c r="G1177" s="5"/>
      <c r="K1177" s="5"/>
      <c r="L1177" s="5"/>
      <c r="P1177" s="5"/>
      <c r="Q1177"/>
      <c r="U1177"/>
    </row>
    <row r="1178" spans="2:21" x14ac:dyDescent="0.2">
      <c r="B1178" s="5"/>
      <c r="F1178" s="5"/>
      <c r="G1178" s="5"/>
      <c r="K1178" s="5"/>
      <c r="L1178" s="5"/>
      <c r="P1178" s="5"/>
      <c r="Q1178"/>
      <c r="U1178"/>
    </row>
    <row r="1179" spans="2:21" x14ac:dyDescent="0.2">
      <c r="B1179" s="5"/>
      <c r="F1179" s="5"/>
      <c r="G1179" s="5"/>
      <c r="K1179" s="5"/>
      <c r="L1179" s="5"/>
      <c r="P1179" s="5"/>
      <c r="Q1179"/>
      <c r="U1179"/>
    </row>
    <row r="1180" spans="2:21" x14ac:dyDescent="0.2">
      <c r="B1180" s="5"/>
      <c r="F1180" s="5"/>
      <c r="G1180" s="5"/>
      <c r="K1180" s="5"/>
      <c r="L1180" s="5"/>
      <c r="P1180" s="5"/>
      <c r="Q1180"/>
      <c r="U1180"/>
    </row>
    <row r="1181" spans="2:21" x14ac:dyDescent="0.2">
      <c r="B1181" s="5"/>
      <c r="F1181" s="5"/>
      <c r="G1181" s="5"/>
      <c r="K1181" s="5"/>
      <c r="L1181" s="5"/>
      <c r="P1181" s="5"/>
      <c r="Q1181"/>
      <c r="U1181"/>
    </row>
    <row r="1182" spans="2:21" x14ac:dyDescent="0.2">
      <c r="B1182" s="5"/>
      <c r="F1182" s="5"/>
      <c r="G1182" s="5"/>
      <c r="K1182" s="5"/>
      <c r="L1182" s="5"/>
      <c r="P1182" s="5"/>
      <c r="Q1182"/>
      <c r="U1182"/>
    </row>
    <row r="1183" spans="2:21" x14ac:dyDescent="0.2">
      <c r="B1183" s="5"/>
      <c r="F1183" s="5"/>
      <c r="G1183" s="5"/>
      <c r="K1183" s="5"/>
      <c r="L1183" s="5"/>
      <c r="P1183" s="5"/>
      <c r="Q1183"/>
      <c r="U1183"/>
    </row>
    <row r="1184" spans="2:21" x14ac:dyDescent="0.2">
      <c r="B1184" s="5"/>
      <c r="F1184" s="5"/>
      <c r="G1184" s="5"/>
      <c r="K1184" s="5"/>
      <c r="L1184" s="5"/>
      <c r="P1184" s="5"/>
      <c r="Q1184"/>
      <c r="U1184"/>
    </row>
    <row r="1185" spans="2:21" x14ac:dyDescent="0.2">
      <c r="B1185" s="5"/>
      <c r="F1185" s="5"/>
      <c r="G1185" s="5"/>
      <c r="K1185" s="5"/>
      <c r="L1185" s="5"/>
      <c r="P1185" s="5"/>
      <c r="Q1185"/>
      <c r="U1185"/>
    </row>
    <row r="1186" spans="2:21" x14ac:dyDescent="0.2">
      <c r="B1186" s="5"/>
      <c r="F1186" s="5"/>
      <c r="G1186" s="5"/>
      <c r="K1186" s="5"/>
      <c r="L1186" s="5"/>
      <c r="P1186" s="5"/>
      <c r="Q1186"/>
      <c r="U1186"/>
    </row>
    <row r="1187" spans="2:21" x14ac:dyDescent="0.2">
      <c r="B1187" s="5"/>
      <c r="F1187" s="5"/>
      <c r="G1187" s="5"/>
      <c r="K1187" s="5"/>
      <c r="L1187" s="5"/>
      <c r="P1187" s="5"/>
      <c r="Q1187"/>
      <c r="U1187"/>
    </row>
    <row r="1188" spans="2:21" x14ac:dyDescent="0.2">
      <c r="B1188" s="5"/>
      <c r="F1188" s="5"/>
      <c r="G1188" s="5"/>
      <c r="K1188" s="5"/>
      <c r="L1188" s="5"/>
      <c r="P1188" s="5"/>
      <c r="Q1188"/>
      <c r="U1188"/>
    </row>
    <row r="1189" spans="2:21" x14ac:dyDescent="0.2">
      <c r="B1189" s="5"/>
      <c r="F1189" s="5"/>
      <c r="G1189" s="5"/>
      <c r="K1189" s="5"/>
      <c r="L1189" s="5"/>
      <c r="P1189" s="5"/>
      <c r="Q1189"/>
      <c r="U1189"/>
    </row>
  </sheetData>
  <mergeCells count="5">
    <mergeCell ref="B47:E54"/>
    <mergeCell ref="B1:E1"/>
    <mergeCell ref="G1:J1"/>
    <mergeCell ref="L1:O1"/>
    <mergeCell ref="Q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A8A6-D365-074E-A4B3-063FC94A4C63}">
  <dimension ref="A1:AF51"/>
  <sheetViews>
    <sheetView zoomScale="82" zoomScaleNormal="100" workbookViewId="0">
      <selection activeCell="C20" sqref="C20"/>
    </sheetView>
  </sheetViews>
  <sheetFormatPr baseColWidth="10" defaultColWidth="10.6640625" defaultRowHeight="16" x14ac:dyDescent="0.2"/>
  <cols>
    <col min="6" max="8" width="14.5" bestFit="1" customWidth="1"/>
    <col min="9" max="9" width="14.5" customWidth="1"/>
    <col min="10" max="12" width="14.5" bestFit="1" customWidth="1"/>
    <col min="13" max="13" width="14.5" customWidth="1"/>
    <col min="14" max="14" width="14.5" bestFit="1" customWidth="1"/>
    <col min="16" max="16" width="14.5" bestFit="1" customWidth="1"/>
    <col min="17" max="17" width="14.5" customWidth="1"/>
    <col min="20" max="20" width="14.5" bestFit="1" customWidth="1"/>
    <col min="21" max="21" width="14.5" customWidth="1"/>
    <col min="24" max="24" width="12.6640625" bestFit="1" customWidth="1"/>
  </cols>
  <sheetData>
    <row r="1" spans="1:32" x14ac:dyDescent="0.2">
      <c r="A1" s="46"/>
      <c r="B1" s="76" t="s">
        <v>82</v>
      </c>
      <c r="C1" s="76"/>
      <c r="D1" s="76"/>
      <c r="E1" s="49"/>
      <c r="F1" s="76" t="s">
        <v>83</v>
      </c>
      <c r="G1" s="76"/>
      <c r="H1" s="76"/>
      <c r="I1" s="49"/>
      <c r="J1" s="76" t="s">
        <v>74</v>
      </c>
      <c r="K1" s="76"/>
      <c r="L1" s="76"/>
      <c r="M1" s="49"/>
      <c r="N1" s="76" t="s">
        <v>85</v>
      </c>
      <c r="O1" s="76"/>
      <c r="P1" s="76"/>
      <c r="Q1" s="49"/>
      <c r="R1" s="76" t="s">
        <v>76</v>
      </c>
      <c r="S1" s="76"/>
      <c r="T1" s="76"/>
      <c r="U1" s="49"/>
      <c r="V1" s="76" t="s">
        <v>86</v>
      </c>
      <c r="W1" s="76"/>
      <c r="X1" s="76"/>
      <c r="Y1" s="76"/>
    </row>
    <row r="2" spans="1:32" x14ac:dyDescent="0.2">
      <c r="A2" s="40" t="s">
        <v>81</v>
      </c>
      <c r="B2" s="40" t="s">
        <v>59</v>
      </c>
      <c r="C2" s="40" t="s">
        <v>60</v>
      </c>
      <c r="D2" s="40" t="s">
        <v>61</v>
      </c>
      <c r="E2" s="40" t="s">
        <v>62</v>
      </c>
      <c r="F2" s="40" t="s">
        <v>59</v>
      </c>
      <c r="G2" s="40" t="s">
        <v>60</v>
      </c>
      <c r="H2" s="40" t="s">
        <v>61</v>
      </c>
      <c r="I2" s="40" t="s">
        <v>62</v>
      </c>
      <c r="J2" s="40" t="s">
        <v>59</v>
      </c>
      <c r="K2" s="40" t="s">
        <v>60</v>
      </c>
      <c r="L2" s="40" t="s">
        <v>61</v>
      </c>
      <c r="M2" s="40" t="s">
        <v>62</v>
      </c>
      <c r="N2" s="40" t="s">
        <v>59</v>
      </c>
      <c r="O2" s="40" t="s">
        <v>60</v>
      </c>
      <c r="P2" s="40" t="s">
        <v>61</v>
      </c>
      <c r="Q2" s="40" t="s">
        <v>62</v>
      </c>
      <c r="R2" s="40" t="s">
        <v>59</v>
      </c>
      <c r="S2" s="40" t="s">
        <v>60</v>
      </c>
      <c r="T2" s="40" t="s">
        <v>61</v>
      </c>
      <c r="U2" s="40" t="s">
        <v>62</v>
      </c>
      <c r="V2" s="40" t="s">
        <v>59</v>
      </c>
      <c r="W2" s="40" t="s">
        <v>60</v>
      </c>
      <c r="X2" s="40" t="s">
        <v>61</v>
      </c>
      <c r="Y2" s="40" t="s">
        <v>62</v>
      </c>
    </row>
    <row r="3" spans="1:32" x14ac:dyDescent="0.2">
      <c r="A3" s="44">
        <v>0</v>
      </c>
      <c r="B3" s="43">
        <v>1000000</v>
      </c>
      <c r="C3" s="43">
        <v>1000000</v>
      </c>
      <c r="D3" s="43">
        <v>1000000</v>
      </c>
      <c r="E3" s="18">
        <v>1000000</v>
      </c>
      <c r="F3" s="43">
        <v>1000000</v>
      </c>
      <c r="G3" s="43">
        <v>1000000</v>
      </c>
      <c r="H3" s="43">
        <v>1000000</v>
      </c>
      <c r="I3" s="18">
        <v>1000000</v>
      </c>
      <c r="J3" s="43">
        <v>1000000</v>
      </c>
      <c r="K3" s="43">
        <v>1000000</v>
      </c>
      <c r="L3" s="43">
        <v>1000000</v>
      </c>
      <c r="M3" s="43">
        <v>1000000</v>
      </c>
      <c r="N3" s="18">
        <v>1000000</v>
      </c>
      <c r="O3" s="18">
        <v>1000000</v>
      </c>
      <c r="P3" s="47">
        <v>1000000</v>
      </c>
      <c r="Q3" s="47"/>
      <c r="R3" s="47"/>
      <c r="S3" s="47"/>
      <c r="T3" s="47">
        <v>1000000</v>
      </c>
      <c r="U3" s="47"/>
      <c r="V3" s="47"/>
      <c r="W3" s="47"/>
      <c r="X3" s="47">
        <v>1000000</v>
      </c>
      <c r="Y3" s="47"/>
    </row>
    <row r="4" spans="1:32" x14ac:dyDescent="0.2">
      <c r="A4" s="44">
        <v>1</v>
      </c>
      <c r="B4" s="43">
        <v>446250</v>
      </c>
      <c r="C4" s="43"/>
      <c r="D4" s="43">
        <v>253750</v>
      </c>
      <c r="E4" s="18">
        <v>61250</v>
      </c>
      <c r="F4" s="43">
        <v>240625</v>
      </c>
      <c r="G4" s="43">
        <v>214375</v>
      </c>
      <c r="H4" s="43">
        <v>201250</v>
      </c>
      <c r="I4" s="18">
        <v>332500</v>
      </c>
      <c r="J4" s="43">
        <v>262500</v>
      </c>
      <c r="K4" s="43">
        <v>210000</v>
      </c>
      <c r="L4" s="43">
        <v>231875</v>
      </c>
      <c r="M4" s="18">
        <v>196875</v>
      </c>
      <c r="N4" s="18">
        <v>87500</v>
      </c>
      <c r="O4" s="18">
        <v>61250</v>
      </c>
      <c r="P4" s="47">
        <v>205625</v>
      </c>
      <c r="Q4" s="47"/>
      <c r="R4" s="47"/>
      <c r="S4" s="47"/>
      <c r="T4" s="47">
        <v>275625</v>
      </c>
      <c r="U4" s="47"/>
      <c r="V4" s="47"/>
      <c r="W4" s="47"/>
      <c r="X4" s="47">
        <v>196875</v>
      </c>
      <c r="Y4" s="47"/>
    </row>
    <row r="5" spans="1:32" x14ac:dyDescent="0.2">
      <c r="A5" s="44">
        <v>3</v>
      </c>
      <c r="B5" s="43">
        <v>297500</v>
      </c>
      <c r="C5" s="43">
        <v>131250</v>
      </c>
      <c r="D5" s="43">
        <v>105000</v>
      </c>
      <c r="E5" s="18">
        <v>26250</v>
      </c>
      <c r="F5" s="43">
        <v>140000</v>
      </c>
      <c r="G5" s="43">
        <v>74375</v>
      </c>
      <c r="H5" s="43">
        <v>87500</v>
      </c>
      <c r="I5" s="18">
        <v>179375</v>
      </c>
      <c r="J5" s="43">
        <v>122500</v>
      </c>
      <c r="K5" s="43">
        <v>56875</v>
      </c>
      <c r="L5" s="43">
        <v>91875</v>
      </c>
      <c r="M5" s="18">
        <v>21875</v>
      </c>
      <c r="N5" s="18">
        <v>8750</v>
      </c>
      <c r="O5" s="18">
        <v>4375</v>
      </c>
      <c r="P5" s="47">
        <v>78750</v>
      </c>
      <c r="Q5" s="47"/>
      <c r="R5" s="47"/>
      <c r="S5" s="47"/>
      <c r="T5" s="47">
        <v>157500</v>
      </c>
      <c r="U5" s="47"/>
      <c r="V5" s="47"/>
      <c r="W5" s="47"/>
      <c r="X5" s="47">
        <v>74375</v>
      </c>
      <c r="Y5" s="47"/>
    </row>
    <row r="6" spans="1:32" x14ac:dyDescent="0.2">
      <c r="A6" s="44">
        <v>6</v>
      </c>
      <c r="B6" s="43">
        <v>61250</v>
      </c>
      <c r="C6" s="43">
        <v>78750</v>
      </c>
      <c r="D6" s="43">
        <v>131250</v>
      </c>
      <c r="E6" s="18">
        <v>13125</v>
      </c>
      <c r="F6" s="43">
        <v>161875</v>
      </c>
      <c r="G6" s="43">
        <v>74375</v>
      </c>
      <c r="H6" s="43">
        <v>96250</v>
      </c>
      <c r="I6" s="18">
        <v>288750</v>
      </c>
      <c r="J6" s="43">
        <v>105000</v>
      </c>
      <c r="K6" s="43">
        <v>113750</v>
      </c>
      <c r="L6" s="43">
        <v>96250</v>
      </c>
      <c r="M6" s="18">
        <v>56875</v>
      </c>
      <c r="N6" s="18">
        <v>0</v>
      </c>
      <c r="O6" s="18">
        <v>8750</v>
      </c>
      <c r="P6" s="47">
        <v>52500</v>
      </c>
      <c r="Q6" s="47"/>
      <c r="R6" s="47"/>
      <c r="S6" s="47"/>
      <c r="T6" s="47">
        <v>113750</v>
      </c>
      <c r="U6" s="47"/>
      <c r="V6" s="47"/>
      <c r="W6" s="47"/>
      <c r="X6" s="47">
        <v>105000</v>
      </c>
      <c r="Y6" s="47"/>
    </row>
    <row r="7" spans="1:32" x14ac:dyDescent="0.2">
      <c r="A7" s="44">
        <v>13</v>
      </c>
      <c r="B7" s="43">
        <v>75000</v>
      </c>
      <c r="C7" s="43">
        <v>37500</v>
      </c>
      <c r="D7" s="43">
        <v>105000</v>
      </c>
      <c r="E7" s="18">
        <v>0</v>
      </c>
      <c r="F7" s="43">
        <v>82500</v>
      </c>
      <c r="G7" s="43">
        <v>20000</v>
      </c>
      <c r="H7" s="43">
        <v>47500</v>
      </c>
      <c r="I7" s="18">
        <v>135000</v>
      </c>
      <c r="J7" s="43">
        <v>40000</v>
      </c>
      <c r="K7" s="43">
        <v>80000</v>
      </c>
      <c r="L7" s="43">
        <v>55000</v>
      </c>
      <c r="M7" s="18">
        <v>25000</v>
      </c>
      <c r="N7" s="18">
        <v>2500</v>
      </c>
      <c r="O7" s="18">
        <v>0</v>
      </c>
      <c r="P7" s="47">
        <v>15000</v>
      </c>
      <c r="Q7" s="47"/>
      <c r="R7" s="47"/>
      <c r="S7" s="47"/>
      <c r="T7" s="47">
        <v>90000</v>
      </c>
      <c r="U7" s="47"/>
      <c r="V7" s="47"/>
      <c r="W7" s="47"/>
      <c r="X7" s="47">
        <v>37500</v>
      </c>
      <c r="Y7" s="47"/>
    </row>
    <row r="8" spans="1:32" x14ac:dyDescent="0.2">
      <c r="A8" s="44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10" spans="1:32" x14ac:dyDescent="0.2">
      <c r="A10" s="46"/>
      <c r="B10" s="76" t="s">
        <v>82</v>
      </c>
      <c r="C10" s="76"/>
      <c r="D10" s="76"/>
      <c r="E10" s="49"/>
      <c r="F10" s="76" t="s">
        <v>83</v>
      </c>
      <c r="G10" s="76"/>
      <c r="H10" s="76"/>
      <c r="I10" s="49"/>
      <c r="J10" s="76" t="s">
        <v>74</v>
      </c>
      <c r="K10" s="76"/>
      <c r="L10" s="76"/>
      <c r="M10" s="49"/>
      <c r="N10" s="76" t="s">
        <v>85</v>
      </c>
      <c r="O10" s="76"/>
      <c r="P10" s="76"/>
      <c r="Q10" s="49"/>
      <c r="R10" s="76" t="s">
        <v>76</v>
      </c>
      <c r="S10" s="76"/>
      <c r="T10" s="76"/>
      <c r="U10" s="49"/>
      <c r="V10" s="76" t="s">
        <v>86</v>
      </c>
      <c r="W10" s="76"/>
      <c r="X10" s="76"/>
      <c r="Y10" s="76"/>
      <c r="AA10" t="s">
        <v>84</v>
      </c>
    </row>
    <row r="11" spans="1:32" x14ac:dyDescent="0.2">
      <c r="A11" s="40" t="s">
        <v>81</v>
      </c>
      <c r="B11" s="40" t="s">
        <v>59</v>
      </c>
      <c r="C11" s="40" t="s">
        <v>60</v>
      </c>
      <c r="D11" s="40" t="s">
        <v>61</v>
      </c>
      <c r="E11" s="40" t="s">
        <v>62</v>
      </c>
      <c r="F11" s="40" t="s">
        <v>59</v>
      </c>
      <c r="G11" s="40" t="s">
        <v>60</v>
      </c>
      <c r="H11" s="40" t="s">
        <v>61</v>
      </c>
      <c r="I11" s="40" t="s">
        <v>62</v>
      </c>
      <c r="J11" s="40" t="s">
        <v>59</v>
      </c>
      <c r="K11" s="40" t="s">
        <v>60</v>
      </c>
      <c r="L11" s="40" t="s">
        <v>61</v>
      </c>
      <c r="M11" s="40" t="s">
        <v>62</v>
      </c>
      <c r="N11" s="40" t="s">
        <v>59</v>
      </c>
      <c r="O11" s="40" t="s">
        <v>60</v>
      </c>
      <c r="P11" s="40" t="s">
        <v>61</v>
      </c>
      <c r="Q11" s="40" t="s">
        <v>62</v>
      </c>
      <c r="R11" s="40" t="s">
        <v>59</v>
      </c>
      <c r="S11" s="40" t="s">
        <v>60</v>
      </c>
      <c r="T11" s="40" t="s">
        <v>61</v>
      </c>
      <c r="U11" s="40" t="s">
        <v>62</v>
      </c>
      <c r="V11" s="40" t="s">
        <v>59</v>
      </c>
      <c r="W11" s="40" t="s">
        <v>60</v>
      </c>
      <c r="X11" s="40" t="s">
        <v>61</v>
      </c>
      <c r="Y11" s="40" t="s">
        <v>62</v>
      </c>
    </row>
    <row r="12" spans="1:32" x14ac:dyDescent="0.2">
      <c r="A12" s="44">
        <v>0</v>
      </c>
      <c r="B12" s="43">
        <v>100</v>
      </c>
      <c r="C12" s="43">
        <v>100</v>
      </c>
      <c r="D12" s="43">
        <v>100</v>
      </c>
      <c r="E12" s="43">
        <v>100</v>
      </c>
      <c r="F12" s="43">
        <v>100</v>
      </c>
      <c r="G12" s="43">
        <v>100</v>
      </c>
      <c r="H12" s="43">
        <v>100</v>
      </c>
      <c r="I12" s="43">
        <v>100</v>
      </c>
      <c r="J12" s="43">
        <v>100</v>
      </c>
      <c r="K12" s="43">
        <v>100</v>
      </c>
      <c r="L12" s="43">
        <v>100</v>
      </c>
      <c r="M12" s="43">
        <v>100</v>
      </c>
      <c r="N12" s="45">
        <v>100</v>
      </c>
      <c r="O12" s="45">
        <v>100</v>
      </c>
      <c r="P12" s="45">
        <v>100</v>
      </c>
      <c r="Q12" s="45"/>
      <c r="R12" s="45"/>
      <c r="S12" s="45"/>
      <c r="T12" s="45">
        <v>100</v>
      </c>
      <c r="U12" s="45"/>
      <c r="V12" s="45"/>
      <c r="W12" s="50"/>
      <c r="X12" s="50">
        <v>100</v>
      </c>
      <c r="AA12" s="43"/>
      <c r="AB12" s="43"/>
      <c r="AC12" s="43"/>
      <c r="AD12" s="43"/>
      <c r="AE12" s="43"/>
      <c r="AF12" s="43"/>
    </row>
    <row r="13" spans="1:32" x14ac:dyDescent="0.2">
      <c r="A13" s="44">
        <v>1</v>
      </c>
      <c r="B13" s="43">
        <v>100</v>
      </c>
      <c r="C13" s="43"/>
      <c r="D13" s="43">
        <v>100</v>
      </c>
      <c r="E13" s="43">
        <v>100</v>
      </c>
      <c r="F13" s="45">
        <f>(F4/B4)*100</f>
        <v>53.921568627450981</v>
      </c>
      <c r="G13" s="45"/>
      <c r="H13" s="45">
        <f t="shared" ref="H13:I16" si="0">(H4/D4)*100</f>
        <v>79.310344827586206</v>
      </c>
      <c r="I13" s="45">
        <f t="shared" si="0"/>
        <v>542.85714285714289</v>
      </c>
      <c r="J13" s="45">
        <f>(J4/B4)*100</f>
        <v>58.82352941176471</v>
      </c>
      <c r="K13" s="45"/>
      <c r="L13" s="45">
        <f t="shared" ref="L13:M16" si="1">(L4/D4)*100</f>
        <v>91.379310344827587</v>
      </c>
      <c r="M13" s="45">
        <f t="shared" si="1"/>
        <v>321.42857142857144</v>
      </c>
      <c r="N13" s="45">
        <f t="shared" ref="N13:O13" si="2">(N4/B4)*100</f>
        <v>19.607843137254903</v>
      </c>
      <c r="O13" s="45" t="e">
        <f t="shared" si="2"/>
        <v>#DIV/0!</v>
      </c>
      <c r="P13" s="45">
        <f>(P4/D4)*100</f>
        <v>81.034482758620683</v>
      </c>
      <c r="Q13" s="45"/>
      <c r="R13" s="45"/>
      <c r="S13" s="45"/>
      <c r="T13" s="45">
        <f>(T4/D4)*100</f>
        <v>108.62068965517241</v>
      </c>
      <c r="U13" s="45"/>
      <c r="V13" s="45"/>
      <c r="W13" s="50"/>
      <c r="X13" s="50">
        <f>(X4/D4)*100</f>
        <v>77.58620689655173</v>
      </c>
      <c r="AA13" s="43"/>
      <c r="AB13" s="43"/>
      <c r="AC13" s="43"/>
      <c r="AD13" s="43"/>
      <c r="AE13" s="43"/>
      <c r="AF13" s="43"/>
    </row>
    <row r="14" spans="1:32" x14ac:dyDescent="0.2">
      <c r="A14" s="44">
        <v>3</v>
      </c>
      <c r="B14" s="43">
        <v>100</v>
      </c>
      <c r="C14" s="43">
        <v>100</v>
      </c>
      <c r="D14" s="43">
        <v>100</v>
      </c>
      <c r="E14" s="43">
        <v>100</v>
      </c>
      <c r="F14" s="45">
        <f>(F5/B5)*100</f>
        <v>47.058823529411761</v>
      </c>
      <c r="G14" s="45">
        <f>(G5/C5)*100</f>
        <v>56.666666666666664</v>
      </c>
      <c r="H14" s="45">
        <f t="shared" si="0"/>
        <v>83.333333333333343</v>
      </c>
      <c r="I14" s="45">
        <f t="shared" si="0"/>
        <v>683.33333333333326</v>
      </c>
      <c r="J14" s="45">
        <f>(J5/B5)*100</f>
        <v>41.17647058823529</v>
      </c>
      <c r="K14" s="45">
        <f>(K5/C5)*100</f>
        <v>43.333333333333336</v>
      </c>
      <c r="L14" s="45">
        <f t="shared" si="1"/>
        <v>87.5</v>
      </c>
      <c r="M14" s="45">
        <f t="shared" si="1"/>
        <v>83.333333333333343</v>
      </c>
      <c r="N14" s="45">
        <f t="shared" ref="N14:O14" si="3">(N5/B5)*100</f>
        <v>2.9411764705882351</v>
      </c>
      <c r="O14" s="45">
        <f t="shared" si="3"/>
        <v>3.3333333333333335</v>
      </c>
      <c r="P14" s="45">
        <f>(P5/D5)*100</f>
        <v>75</v>
      </c>
      <c r="Q14" s="45"/>
      <c r="R14" s="45"/>
      <c r="S14" s="45"/>
      <c r="T14" s="45">
        <f t="shared" ref="T14:T16" si="4">(T5/D5)*100</f>
        <v>150</v>
      </c>
      <c r="U14" s="45"/>
      <c r="V14" s="45"/>
      <c r="W14" s="50"/>
      <c r="X14" s="50">
        <f t="shared" ref="X14:X16" si="5">(X5/D5)*100</f>
        <v>70.833333333333343</v>
      </c>
      <c r="AA14" s="43"/>
      <c r="AB14" s="43"/>
      <c r="AC14" s="43"/>
      <c r="AD14" s="43"/>
      <c r="AE14" s="43"/>
      <c r="AF14" s="43"/>
    </row>
    <row r="15" spans="1:32" x14ac:dyDescent="0.2">
      <c r="A15" s="44">
        <v>6</v>
      </c>
      <c r="B15" s="43">
        <v>100</v>
      </c>
      <c r="C15" s="43">
        <v>100</v>
      </c>
      <c r="D15" s="43">
        <v>100</v>
      </c>
      <c r="E15" s="43">
        <v>100</v>
      </c>
      <c r="F15" s="45">
        <f>(F6/B6)*100</f>
        <v>264.28571428571428</v>
      </c>
      <c r="G15" s="45">
        <f>(G6/C6)*100</f>
        <v>94.444444444444443</v>
      </c>
      <c r="H15" s="45">
        <f t="shared" si="0"/>
        <v>73.333333333333329</v>
      </c>
      <c r="I15" s="45">
        <f>(I6/E6)*100</f>
        <v>2200</v>
      </c>
      <c r="J15" s="45">
        <f>(J6/B6)*100</f>
        <v>171.42857142857142</v>
      </c>
      <c r="K15" s="45">
        <f>(K6/C6)*100</f>
        <v>144.44444444444443</v>
      </c>
      <c r="L15" s="45">
        <f t="shared" si="1"/>
        <v>73.333333333333329</v>
      </c>
      <c r="M15" s="45">
        <f t="shared" si="1"/>
        <v>433.33333333333331</v>
      </c>
      <c r="N15" s="45">
        <f t="shared" ref="N15:O15" si="6">(N6/B6)*100</f>
        <v>0</v>
      </c>
      <c r="O15" s="45">
        <f t="shared" si="6"/>
        <v>11.111111111111111</v>
      </c>
      <c r="P15" s="45">
        <f>(P6/D6)*100</f>
        <v>40</v>
      </c>
      <c r="Q15" s="45"/>
      <c r="R15" s="45"/>
      <c r="S15" s="45"/>
      <c r="T15" s="45">
        <f t="shared" si="4"/>
        <v>86.666666666666671</v>
      </c>
      <c r="U15" s="45"/>
      <c r="V15" s="45"/>
      <c r="W15" s="50"/>
      <c r="X15" s="50">
        <f t="shared" si="5"/>
        <v>80</v>
      </c>
      <c r="AA15" s="43"/>
      <c r="AB15" s="43"/>
      <c r="AC15" s="43"/>
      <c r="AD15" s="43"/>
      <c r="AE15" s="43"/>
      <c r="AF15" s="43"/>
    </row>
    <row r="16" spans="1:32" x14ac:dyDescent="0.2">
      <c r="A16" s="44">
        <v>13</v>
      </c>
      <c r="B16" s="43">
        <v>100</v>
      </c>
      <c r="C16" s="43">
        <v>100</v>
      </c>
      <c r="D16" s="43">
        <v>100</v>
      </c>
      <c r="E16" s="43">
        <v>100</v>
      </c>
      <c r="F16" s="45">
        <f>(F7/B7)*100</f>
        <v>110.00000000000001</v>
      </c>
      <c r="G16" s="45">
        <f>(G7/C7)*100</f>
        <v>53.333333333333336</v>
      </c>
      <c r="H16" s="45">
        <f t="shared" si="0"/>
        <v>45.238095238095241</v>
      </c>
      <c r="I16" s="45" t="e">
        <f>(I7/E7)*100</f>
        <v>#DIV/0!</v>
      </c>
      <c r="J16" s="45">
        <f>(J7/B7)*100</f>
        <v>53.333333333333336</v>
      </c>
      <c r="K16" s="45">
        <f>(K7/C7)*100</f>
        <v>213.33333333333334</v>
      </c>
      <c r="L16" s="45">
        <f t="shared" si="1"/>
        <v>52.380952380952387</v>
      </c>
      <c r="M16" s="45" t="e">
        <f t="shared" si="1"/>
        <v>#DIV/0!</v>
      </c>
      <c r="N16" s="45">
        <f t="shared" ref="N16:O16" si="7">(N7/B7)*100</f>
        <v>3.3333333333333335</v>
      </c>
      <c r="O16" s="45">
        <f t="shared" si="7"/>
        <v>0</v>
      </c>
      <c r="P16" s="45">
        <f>(P7/D7)*100</f>
        <v>14.285714285714285</v>
      </c>
      <c r="Q16" s="45"/>
      <c r="R16" s="45"/>
      <c r="S16" s="45"/>
      <c r="T16" s="45">
        <f t="shared" si="4"/>
        <v>85.714285714285708</v>
      </c>
      <c r="U16" s="45"/>
      <c r="V16" s="45"/>
      <c r="W16" s="50"/>
      <c r="X16" s="50">
        <f t="shared" si="5"/>
        <v>35.714285714285715</v>
      </c>
      <c r="AA16" s="43"/>
      <c r="AB16" s="43"/>
      <c r="AC16" s="43"/>
      <c r="AD16" s="43"/>
      <c r="AE16" s="43"/>
      <c r="AF16" s="43"/>
    </row>
    <row r="19" spans="1:25" x14ac:dyDescent="0.2">
      <c r="B19" s="75"/>
      <c r="C19" s="75"/>
      <c r="D19" s="75"/>
      <c r="E19" s="51"/>
      <c r="F19" s="75"/>
      <c r="G19" s="75"/>
      <c r="H19" s="75"/>
      <c r="I19" s="51"/>
      <c r="J19" s="75"/>
      <c r="K19" s="75"/>
      <c r="L19" s="75"/>
      <c r="M19" s="51"/>
      <c r="N19" s="75"/>
      <c r="O19" s="75"/>
      <c r="P19" s="75"/>
      <c r="Q19" s="51"/>
      <c r="R19" s="75"/>
      <c r="S19" s="75"/>
      <c r="T19" s="75"/>
      <c r="U19" s="51"/>
      <c r="V19" s="75"/>
      <c r="W19" s="75"/>
      <c r="X19" s="75"/>
      <c r="Y19" s="75"/>
    </row>
    <row r="20" spans="1:25" x14ac:dyDescent="0.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spans="1:25" x14ac:dyDescent="0.2">
      <c r="A21" s="44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</row>
    <row r="22" spans="1:25" x14ac:dyDescent="0.2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</row>
    <row r="23" spans="1:25" x14ac:dyDescent="0.2">
      <c r="A23" s="44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</row>
    <row r="24" spans="1:25" x14ac:dyDescent="0.2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</row>
    <row r="25" spans="1:25" x14ac:dyDescent="0.2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</row>
    <row r="28" spans="1:25" x14ac:dyDescent="0.2">
      <c r="B28" s="75"/>
      <c r="C28" s="75"/>
      <c r="D28" s="75"/>
      <c r="E28" s="51"/>
      <c r="F28" s="75"/>
      <c r="G28" s="75"/>
      <c r="H28" s="75"/>
      <c r="I28" s="51"/>
      <c r="J28" s="75"/>
      <c r="K28" s="75"/>
      <c r="L28" s="75"/>
      <c r="M28" s="51"/>
      <c r="N28" s="75"/>
      <c r="O28" s="75"/>
      <c r="P28" s="75"/>
      <c r="Q28" s="51"/>
      <c r="R28" s="75"/>
      <c r="S28" s="75"/>
      <c r="T28" s="75"/>
      <c r="U28" s="51"/>
      <c r="V28" s="75"/>
      <c r="W28" s="75"/>
      <c r="X28" s="75"/>
      <c r="Y28" s="75"/>
    </row>
    <row r="29" spans="1:25" x14ac:dyDescent="0.2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spans="1:25" x14ac:dyDescent="0.2">
      <c r="A30" s="44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</row>
    <row r="31" spans="1:25" x14ac:dyDescent="0.2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2" spans="1:25" x14ac:dyDescent="0.2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</row>
    <row r="33" spans="1:22" x14ac:dyDescent="0.2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</row>
    <row r="34" spans="1:22" x14ac:dyDescent="0.2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</row>
    <row r="42" spans="1:22" x14ac:dyDescent="0.2">
      <c r="N42" s="43"/>
      <c r="O42" s="43"/>
      <c r="P42" s="43"/>
      <c r="Q42" s="43"/>
      <c r="R42" s="43"/>
      <c r="S42" s="43"/>
      <c r="T42" s="43"/>
      <c r="U42" s="43"/>
      <c r="V42" s="43"/>
    </row>
    <row r="43" spans="1:22" x14ac:dyDescent="0.2">
      <c r="N43" s="43"/>
      <c r="O43" s="43"/>
      <c r="P43" s="43"/>
      <c r="Q43" s="43"/>
      <c r="R43" s="43"/>
      <c r="S43" s="43"/>
      <c r="T43" s="43"/>
      <c r="U43" s="43"/>
      <c r="V43" s="43"/>
    </row>
    <row r="47" spans="1:22" x14ac:dyDescent="0.2">
      <c r="N47" s="43"/>
      <c r="O47" s="43"/>
      <c r="P47" s="43"/>
      <c r="Q47" s="43"/>
      <c r="R47" s="43"/>
      <c r="S47" s="43"/>
      <c r="T47" s="43"/>
      <c r="U47" s="43"/>
      <c r="V47" s="43"/>
    </row>
    <row r="48" spans="1:22" x14ac:dyDescent="0.2">
      <c r="N48" s="45"/>
      <c r="O48" s="43"/>
      <c r="P48" s="43"/>
      <c r="Q48" s="43"/>
      <c r="R48" s="43"/>
      <c r="S48" s="43"/>
      <c r="T48" s="43"/>
      <c r="U48" s="43"/>
      <c r="V48" s="43"/>
    </row>
    <row r="49" spans="14:22" x14ac:dyDescent="0.2">
      <c r="N49" s="45"/>
      <c r="O49" s="43"/>
      <c r="P49" s="43"/>
      <c r="Q49" s="43"/>
      <c r="R49" s="43"/>
      <c r="S49" s="43"/>
      <c r="T49" s="43"/>
      <c r="U49" s="43"/>
      <c r="V49" s="43"/>
    </row>
    <row r="50" spans="14:22" x14ac:dyDescent="0.2">
      <c r="N50" s="45"/>
      <c r="O50" s="43"/>
      <c r="P50" s="43"/>
      <c r="Q50" s="43"/>
      <c r="R50" s="43"/>
      <c r="S50" s="43"/>
      <c r="T50" s="43"/>
      <c r="U50" s="43"/>
      <c r="V50" s="43"/>
    </row>
    <row r="51" spans="14:22" x14ac:dyDescent="0.2">
      <c r="N51" s="45"/>
      <c r="O51" s="43"/>
      <c r="P51" s="43"/>
      <c r="Q51" s="43"/>
      <c r="R51" s="43"/>
      <c r="S51" s="43"/>
      <c r="T51" s="43"/>
      <c r="U51" s="43"/>
      <c r="V51" s="43"/>
    </row>
  </sheetData>
  <mergeCells count="24">
    <mergeCell ref="N19:P19"/>
    <mergeCell ref="R19:T19"/>
    <mergeCell ref="N28:P28"/>
    <mergeCell ref="R28:T28"/>
    <mergeCell ref="V19:Y19"/>
    <mergeCell ref="V28:Y28"/>
    <mergeCell ref="N1:P1"/>
    <mergeCell ref="R1:T1"/>
    <mergeCell ref="N10:P10"/>
    <mergeCell ref="R10:T10"/>
    <mergeCell ref="V1:Y1"/>
    <mergeCell ref="V10:Y10"/>
    <mergeCell ref="B1:D1"/>
    <mergeCell ref="F1:H1"/>
    <mergeCell ref="J1:L1"/>
    <mergeCell ref="B10:D10"/>
    <mergeCell ref="F10:H10"/>
    <mergeCell ref="J10:L10"/>
    <mergeCell ref="B19:D19"/>
    <mergeCell ref="F19:H19"/>
    <mergeCell ref="J19:L19"/>
    <mergeCell ref="B28:D28"/>
    <mergeCell ref="F28:H28"/>
    <mergeCell ref="J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D9BB-F234-9948-B2F8-E63EB68EE26D}">
  <dimension ref="A1:Y22"/>
  <sheetViews>
    <sheetView zoomScale="75" zoomScaleNormal="40" workbookViewId="0">
      <selection activeCell="K18" sqref="K18"/>
    </sheetView>
  </sheetViews>
  <sheetFormatPr baseColWidth="10" defaultColWidth="10.6640625" defaultRowHeight="16" x14ac:dyDescent="0.2"/>
  <cols>
    <col min="6" max="8" width="17" bestFit="1" customWidth="1"/>
    <col min="9" max="9" width="17" customWidth="1"/>
    <col min="10" max="12" width="17" bestFit="1" customWidth="1"/>
    <col min="13" max="13" width="17" customWidth="1"/>
    <col min="14" max="14" width="14.5" bestFit="1" customWidth="1"/>
  </cols>
  <sheetData>
    <row r="1" spans="1:25" x14ac:dyDescent="0.2">
      <c r="A1" s="46"/>
      <c r="B1" s="76" t="s">
        <v>82</v>
      </c>
      <c r="C1" s="76"/>
      <c r="D1" s="76"/>
      <c r="E1" s="49"/>
      <c r="F1" s="76" t="s">
        <v>83</v>
      </c>
      <c r="G1" s="76"/>
      <c r="H1" s="76"/>
      <c r="I1" s="49"/>
      <c r="J1" s="76" t="s">
        <v>74</v>
      </c>
      <c r="K1" s="76"/>
      <c r="L1" s="76"/>
      <c r="M1" s="49"/>
      <c r="N1" s="76" t="s">
        <v>85</v>
      </c>
      <c r="O1" s="76"/>
      <c r="P1" s="76"/>
      <c r="Q1" s="49"/>
      <c r="R1" s="76" t="s">
        <v>76</v>
      </c>
      <c r="S1" s="76"/>
      <c r="T1" s="76"/>
      <c r="U1" s="49"/>
      <c r="V1" s="76" t="s">
        <v>86</v>
      </c>
      <c r="W1" s="76"/>
      <c r="X1" s="76"/>
      <c r="Y1" s="76"/>
    </row>
    <row r="2" spans="1:25" x14ac:dyDescent="0.2">
      <c r="A2" s="40" t="s">
        <v>81</v>
      </c>
      <c r="B2" s="40" t="s">
        <v>59</v>
      </c>
      <c r="C2" s="40" t="s">
        <v>60</v>
      </c>
      <c r="D2" s="40" t="s">
        <v>61</v>
      </c>
      <c r="E2" s="40" t="s">
        <v>62</v>
      </c>
      <c r="F2" s="40" t="s">
        <v>59</v>
      </c>
      <c r="G2" s="40" t="s">
        <v>60</v>
      </c>
      <c r="H2" s="40" t="s">
        <v>61</v>
      </c>
      <c r="I2" s="40" t="s">
        <v>62</v>
      </c>
      <c r="J2" s="40" t="s">
        <v>59</v>
      </c>
      <c r="K2" s="40" t="s">
        <v>60</v>
      </c>
      <c r="L2" s="40" t="s">
        <v>61</v>
      </c>
      <c r="M2" s="40" t="s">
        <v>62</v>
      </c>
      <c r="N2" s="40" t="s">
        <v>59</v>
      </c>
      <c r="O2" s="40" t="s">
        <v>60</v>
      </c>
      <c r="P2" s="40" t="s">
        <v>61</v>
      </c>
      <c r="Q2" s="40" t="s">
        <v>62</v>
      </c>
      <c r="R2" s="40" t="s">
        <v>59</v>
      </c>
      <c r="S2" s="40" t="s">
        <v>60</v>
      </c>
      <c r="T2" s="40" t="s">
        <v>61</v>
      </c>
      <c r="U2" s="40" t="s">
        <v>62</v>
      </c>
      <c r="V2" s="40" t="s">
        <v>59</v>
      </c>
      <c r="W2" s="40" t="s">
        <v>60</v>
      </c>
      <c r="X2" s="40" t="s">
        <v>61</v>
      </c>
      <c r="Y2" s="40" t="s">
        <v>62</v>
      </c>
    </row>
    <row r="3" spans="1:25" x14ac:dyDescent="0.2">
      <c r="A3" s="44">
        <v>0</v>
      </c>
      <c r="B3" s="47">
        <v>1000000</v>
      </c>
      <c r="C3" s="47">
        <v>1000000</v>
      </c>
      <c r="D3" s="47">
        <v>1000000</v>
      </c>
      <c r="E3" s="18">
        <v>1000000</v>
      </c>
      <c r="F3" s="47">
        <v>1000000</v>
      </c>
      <c r="G3" s="47">
        <v>1000000</v>
      </c>
      <c r="H3" s="47">
        <v>1000000</v>
      </c>
      <c r="I3" s="18">
        <v>1000000</v>
      </c>
      <c r="J3" s="47">
        <v>1000000</v>
      </c>
      <c r="K3" s="47">
        <v>1000000</v>
      </c>
      <c r="L3" s="47">
        <v>1000000</v>
      </c>
      <c r="M3" s="18">
        <v>1000000</v>
      </c>
      <c r="N3" s="18">
        <v>1000000</v>
      </c>
      <c r="O3" s="18">
        <v>1000000</v>
      </c>
      <c r="P3" s="47">
        <v>1000000</v>
      </c>
      <c r="Q3" s="47"/>
      <c r="R3" s="47"/>
      <c r="S3" s="47"/>
      <c r="T3" s="47">
        <v>1000000</v>
      </c>
      <c r="U3" s="47"/>
      <c r="V3" s="47"/>
      <c r="W3" s="47"/>
      <c r="X3" s="47">
        <v>1000000</v>
      </c>
    </row>
    <row r="4" spans="1:25" x14ac:dyDescent="0.2">
      <c r="A4" s="44">
        <v>1</v>
      </c>
      <c r="B4" s="47"/>
      <c r="C4" s="47"/>
      <c r="D4" s="47"/>
      <c r="E4" s="18"/>
      <c r="F4" s="47"/>
      <c r="G4" s="47"/>
      <c r="H4" s="47"/>
      <c r="I4" s="18"/>
      <c r="J4" s="47"/>
      <c r="K4" s="47"/>
      <c r="L4" s="47"/>
      <c r="M4" s="18"/>
      <c r="N4" s="18"/>
      <c r="O4" s="18"/>
      <c r="P4" s="47"/>
      <c r="Q4" s="47"/>
      <c r="R4" s="47"/>
      <c r="S4" s="47"/>
      <c r="T4" s="47"/>
      <c r="U4" s="47"/>
      <c r="V4" s="47"/>
      <c r="W4" s="47"/>
      <c r="X4" s="47"/>
    </row>
    <row r="5" spans="1:25" x14ac:dyDescent="0.2">
      <c r="A5" s="44">
        <v>3</v>
      </c>
      <c r="B5" s="47">
        <v>682500</v>
      </c>
      <c r="C5" s="47">
        <v>183750</v>
      </c>
      <c r="D5" s="47">
        <v>350000</v>
      </c>
      <c r="E5" s="18">
        <v>70000</v>
      </c>
      <c r="F5" s="47">
        <v>306250</v>
      </c>
      <c r="G5" s="47">
        <v>306250</v>
      </c>
      <c r="H5" s="47">
        <v>341250</v>
      </c>
      <c r="I5" s="18">
        <v>385000</v>
      </c>
      <c r="J5" s="47">
        <v>332500</v>
      </c>
      <c r="K5" s="47">
        <v>341250</v>
      </c>
      <c r="L5" s="47">
        <v>87500</v>
      </c>
      <c r="M5" s="18">
        <v>201250</v>
      </c>
      <c r="N5" s="18">
        <v>26250</v>
      </c>
      <c r="O5" s="18">
        <v>43750</v>
      </c>
      <c r="P5" s="18">
        <v>183750</v>
      </c>
      <c r="Q5" s="18"/>
      <c r="R5" s="47"/>
      <c r="S5" s="47"/>
      <c r="T5" s="18">
        <v>525000</v>
      </c>
      <c r="U5" s="18"/>
      <c r="V5" s="47"/>
      <c r="W5" s="47"/>
      <c r="X5" s="18">
        <v>78750</v>
      </c>
    </row>
    <row r="6" spans="1:25" x14ac:dyDescent="0.2">
      <c r="A6" s="44">
        <v>6</v>
      </c>
      <c r="B6" s="47">
        <v>175000</v>
      </c>
      <c r="C6" s="47">
        <v>175000</v>
      </c>
      <c r="D6" s="47">
        <v>420000</v>
      </c>
      <c r="E6" s="18">
        <v>8750</v>
      </c>
      <c r="F6" s="47">
        <v>323750</v>
      </c>
      <c r="G6" s="47">
        <v>175000</v>
      </c>
      <c r="H6" s="47">
        <v>262500</v>
      </c>
      <c r="I6" s="18">
        <v>516250</v>
      </c>
      <c r="J6" s="47">
        <v>210000</v>
      </c>
      <c r="K6" s="47">
        <v>271250</v>
      </c>
      <c r="L6" s="47">
        <v>446250</v>
      </c>
      <c r="M6" s="18">
        <v>35000</v>
      </c>
      <c r="N6" s="18">
        <v>0</v>
      </c>
      <c r="O6" s="18">
        <v>8750</v>
      </c>
      <c r="P6" s="18">
        <v>700000</v>
      </c>
      <c r="Q6" s="18"/>
      <c r="R6" s="47"/>
      <c r="S6" s="47"/>
      <c r="T6" s="18">
        <v>507500</v>
      </c>
      <c r="U6" s="18"/>
      <c r="V6" s="47"/>
      <c r="W6" s="47"/>
      <c r="X6" s="18">
        <v>245000</v>
      </c>
    </row>
    <row r="7" spans="1:25" x14ac:dyDescent="0.2">
      <c r="A7" s="44">
        <v>8</v>
      </c>
      <c r="B7" s="47">
        <v>148750</v>
      </c>
      <c r="C7" s="47">
        <v>55000</v>
      </c>
      <c r="D7" s="47">
        <v>225000</v>
      </c>
      <c r="E7" s="18">
        <v>10000</v>
      </c>
      <c r="F7" s="47">
        <v>300000</v>
      </c>
      <c r="G7" s="47">
        <v>115000</v>
      </c>
      <c r="H7" s="47">
        <v>310000</v>
      </c>
      <c r="I7" s="18">
        <v>425000</v>
      </c>
      <c r="J7" s="47">
        <v>30000</v>
      </c>
      <c r="K7" s="47">
        <v>210000</v>
      </c>
      <c r="L7" s="47">
        <v>95000</v>
      </c>
      <c r="M7" s="18">
        <v>130000</v>
      </c>
      <c r="N7" s="18">
        <v>0</v>
      </c>
      <c r="O7" s="18">
        <v>0</v>
      </c>
      <c r="P7" s="18">
        <v>80000</v>
      </c>
      <c r="Q7" s="18"/>
      <c r="R7" s="47"/>
      <c r="S7" s="47"/>
      <c r="T7" s="18">
        <v>415000</v>
      </c>
      <c r="U7" s="18"/>
      <c r="V7" s="47"/>
      <c r="W7" s="47"/>
      <c r="X7" s="18">
        <v>100000</v>
      </c>
    </row>
    <row r="8" spans="1:25" x14ac:dyDescent="0.2">
      <c r="A8" s="44">
        <v>10</v>
      </c>
      <c r="B8" s="47">
        <v>125000</v>
      </c>
      <c r="C8" s="47">
        <v>135000</v>
      </c>
      <c r="D8" s="47">
        <v>305000</v>
      </c>
      <c r="E8" s="18">
        <v>0</v>
      </c>
      <c r="F8" s="47">
        <v>195000</v>
      </c>
      <c r="G8" s="47">
        <v>45000</v>
      </c>
      <c r="H8" s="47">
        <v>365000</v>
      </c>
      <c r="I8" s="18">
        <v>430000</v>
      </c>
      <c r="J8" s="47">
        <v>35000</v>
      </c>
      <c r="K8" s="47">
        <v>55000</v>
      </c>
      <c r="L8" s="47">
        <v>300000</v>
      </c>
      <c r="M8" s="18">
        <v>85000</v>
      </c>
      <c r="N8" s="18">
        <v>0</v>
      </c>
      <c r="O8" s="18">
        <v>0</v>
      </c>
      <c r="P8" s="18">
        <v>120000</v>
      </c>
      <c r="Q8" s="18"/>
      <c r="R8" s="43"/>
      <c r="S8" s="43"/>
      <c r="T8" s="18">
        <v>475000</v>
      </c>
      <c r="U8" s="18"/>
      <c r="V8" s="43"/>
      <c r="X8" s="18">
        <v>275000</v>
      </c>
    </row>
    <row r="9" spans="1:25" x14ac:dyDescent="0.2">
      <c r="A9" s="44">
        <v>13</v>
      </c>
      <c r="B9" s="47">
        <v>131667</v>
      </c>
      <c r="C9" s="47">
        <v>258334</v>
      </c>
      <c r="D9" s="47">
        <v>246667</v>
      </c>
      <c r="E9" s="18">
        <v>0</v>
      </c>
      <c r="F9" s="47">
        <v>215000</v>
      </c>
      <c r="G9" s="47">
        <v>72500</v>
      </c>
      <c r="H9" s="47">
        <v>66000</v>
      </c>
      <c r="I9" s="18">
        <v>46667</v>
      </c>
      <c r="J9" s="47">
        <v>40000</v>
      </c>
      <c r="K9" s="47">
        <v>140000</v>
      </c>
      <c r="L9" s="47">
        <v>186667</v>
      </c>
      <c r="M9" s="18">
        <v>108334</v>
      </c>
      <c r="N9" s="18">
        <v>0</v>
      </c>
      <c r="O9" s="18">
        <v>0</v>
      </c>
      <c r="P9" s="18">
        <v>50000</v>
      </c>
      <c r="Q9" s="18"/>
      <c r="T9" s="18">
        <v>221667</v>
      </c>
      <c r="U9" s="18"/>
      <c r="X9" s="18">
        <v>230000</v>
      </c>
    </row>
    <row r="10" spans="1:25" x14ac:dyDescent="0.2">
      <c r="A10" s="44"/>
      <c r="N10" s="75"/>
      <c r="O10" s="75"/>
      <c r="P10" s="75"/>
      <c r="Q10" s="51"/>
      <c r="R10" s="75"/>
      <c r="S10" s="75"/>
      <c r="T10" s="75"/>
      <c r="U10" s="51"/>
      <c r="V10" s="75"/>
      <c r="W10" s="75"/>
      <c r="X10" s="75"/>
    </row>
    <row r="11" spans="1:25" x14ac:dyDescent="0.2">
      <c r="A11" s="44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</row>
    <row r="12" spans="1:25" x14ac:dyDescent="0.2">
      <c r="A12" s="46"/>
      <c r="B12" s="76" t="s">
        <v>82</v>
      </c>
      <c r="C12" s="76"/>
      <c r="D12" s="76"/>
      <c r="E12" s="49"/>
      <c r="F12" s="76" t="s">
        <v>83</v>
      </c>
      <c r="G12" s="76"/>
      <c r="H12" s="76"/>
      <c r="I12" s="49"/>
      <c r="J12" s="76" t="s">
        <v>74</v>
      </c>
      <c r="K12" s="76"/>
      <c r="L12" s="76"/>
      <c r="M12" s="49"/>
      <c r="N12" s="76" t="s">
        <v>85</v>
      </c>
      <c r="O12" s="76"/>
      <c r="P12" s="76"/>
      <c r="Q12" s="49"/>
      <c r="R12" s="76" t="s">
        <v>76</v>
      </c>
      <c r="S12" s="76"/>
      <c r="T12" s="76"/>
      <c r="U12" s="49"/>
      <c r="V12" s="76" t="s">
        <v>86</v>
      </c>
      <c r="W12" s="76"/>
      <c r="X12" s="76"/>
      <c r="Y12" s="76"/>
    </row>
    <row r="13" spans="1:25" x14ac:dyDescent="0.2">
      <c r="A13" s="40" t="s">
        <v>81</v>
      </c>
      <c r="B13" s="40" t="s">
        <v>59</v>
      </c>
      <c r="C13" s="40" t="s">
        <v>60</v>
      </c>
      <c r="D13" s="40" t="s">
        <v>61</v>
      </c>
      <c r="E13" s="40" t="s">
        <v>62</v>
      </c>
      <c r="F13" s="40" t="s">
        <v>59</v>
      </c>
      <c r="G13" s="40" t="s">
        <v>60</v>
      </c>
      <c r="H13" s="40" t="s">
        <v>61</v>
      </c>
      <c r="I13" s="40" t="s">
        <v>62</v>
      </c>
      <c r="J13" s="40" t="s">
        <v>59</v>
      </c>
      <c r="K13" s="40" t="s">
        <v>60</v>
      </c>
      <c r="L13" s="40" t="s">
        <v>61</v>
      </c>
      <c r="M13" s="40" t="s">
        <v>62</v>
      </c>
      <c r="N13" s="40" t="s">
        <v>59</v>
      </c>
      <c r="O13" s="40" t="s">
        <v>60</v>
      </c>
      <c r="P13" s="40" t="s">
        <v>61</v>
      </c>
      <c r="Q13" s="40" t="s">
        <v>62</v>
      </c>
      <c r="R13" s="40" t="s">
        <v>59</v>
      </c>
      <c r="S13" s="40" t="s">
        <v>60</v>
      </c>
      <c r="T13" s="40" t="s">
        <v>61</v>
      </c>
      <c r="U13" s="40" t="s">
        <v>62</v>
      </c>
      <c r="V13" s="40" t="s">
        <v>59</v>
      </c>
      <c r="W13" s="40" t="s">
        <v>60</v>
      </c>
      <c r="X13" s="40" t="s">
        <v>61</v>
      </c>
      <c r="Y13" s="40" t="s">
        <v>62</v>
      </c>
    </row>
    <row r="14" spans="1:25" x14ac:dyDescent="0.2">
      <c r="A14" s="44">
        <v>0</v>
      </c>
      <c r="B14" s="47">
        <v>100</v>
      </c>
      <c r="C14" s="47">
        <v>100</v>
      </c>
      <c r="D14" s="47">
        <v>100</v>
      </c>
      <c r="E14" s="47">
        <v>100</v>
      </c>
      <c r="F14" s="47">
        <v>100</v>
      </c>
      <c r="G14" s="47">
        <v>100</v>
      </c>
      <c r="H14" s="47">
        <v>100</v>
      </c>
      <c r="I14" s="47">
        <v>100</v>
      </c>
      <c r="J14" s="47">
        <v>100</v>
      </c>
      <c r="K14" s="47">
        <v>100</v>
      </c>
      <c r="L14" s="47">
        <v>100</v>
      </c>
      <c r="M14" s="47">
        <v>100</v>
      </c>
      <c r="N14" s="47">
        <v>100</v>
      </c>
      <c r="O14" s="47">
        <v>100</v>
      </c>
      <c r="P14" s="45">
        <v>100</v>
      </c>
      <c r="Q14" s="45"/>
      <c r="R14" s="45"/>
      <c r="S14" s="45"/>
      <c r="T14" s="45">
        <v>100</v>
      </c>
      <c r="U14" s="45"/>
      <c r="V14" s="45"/>
      <c r="W14" s="50"/>
      <c r="X14" s="50">
        <v>100</v>
      </c>
    </row>
    <row r="15" spans="1:25" x14ac:dyDescent="0.2">
      <c r="A15" s="44">
        <v>1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5"/>
      <c r="O15" s="45"/>
      <c r="P15" s="45"/>
      <c r="Q15" s="45"/>
      <c r="R15" s="45"/>
      <c r="S15" s="45"/>
      <c r="T15" s="45"/>
      <c r="U15" s="45"/>
      <c r="V15" s="45"/>
      <c r="W15" s="50"/>
      <c r="X15" s="50"/>
    </row>
    <row r="16" spans="1:25" x14ac:dyDescent="0.2">
      <c r="A16" s="44">
        <v>3</v>
      </c>
      <c r="B16" s="47">
        <v>100</v>
      </c>
      <c r="C16" s="47">
        <v>100</v>
      </c>
      <c r="D16" s="47">
        <v>100</v>
      </c>
      <c r="E16" s="47">
        <v>100</v>
      </c>
      <c r="F16" s="48">
        <f>(F5/B5)*100</f>
        <v>44.871794871794876</v>
      </c>
      <c r="G16" s="48">
        <f>(G5/C5)*100</f>
        <v>166.66666666666669</v>
      </c>
      <c r="H16" s="48">
        <f>(H5/D5)*100</f>
        <v>97.5</v>
      </c>
      <c r="I16" s="48">
        <f>(I5/E5)*100</f>
        <v>550</v>
      </c>
      <c r="J16" s="48">
        <f>(J5/B5)*100</f>
        <v>48.717948717948715</v>
      </c>
      <c r="K16" s="48">
        <f>(K5/C5)*100</f>
        <v>185.71428571428572</v>
      </c>
      <c r="L16" s="48">
        <f>(L5/D5)*100</f>
        <v>25</v>
      </c>
      <c r="M16" s="48">
        <f>(M5/E5)*100</f>
        <v>287.5</v>
      </c>
      <c r="N16" s="45">
        <f t="shared" ref="N16:O20" si="0">(N5/B5)*100</f>
        <v>3.8461538461538463</v>
      </c>
      <c r="O16" s="45">
        <f t="shared" si="0"/>
        <v>23.809523809523807</v>
      </c>
      <c r="P16" s="45">
        <f>(P5/D5)*100</f>
        <v>52.5</v>
      </c>
      <c r="Q16" s="45"/>
      <c r="R16" s="45"/>
      <c r="S16" s="45"/>
      <c r="T16" s="45">
        <f>(T5/D5)*100</f>
        <v>150</v>
      </c>
      <c r="U16" s="45"/>
      <c r="V16" s="45"/>
      <c r="W16" s="50"/>
      <c r="X16" s="50">
        <f>(X5/D5)*100</f>
        <v>22.5</v>
      </c>
    </row>
    <row r="17" spans="1:24" x14ac:dyDescent="0.2">
      <c r="A17" s="44">
        <v>6</v>
      </c>
      <c r="B17" s="47">
        <v>100</v>
      </c>
      <c r="C17" s="47">
        <v>100</v>
      </c>
      <c r="D17" s="47">
        <v>100</v>
      </c>
      <c r="E17" s="47">
        <v>100</v>
      </c>
      <c r="F17" s="48">
        <f t="shared" ref="F17:F20" si="1">(F6/B6)*100</f>
        <v>185</v>
      </c>
      <c r="G17" s="48">
        <f t="shared" ref="G17:I20" si="2">(G6/C6)*100</f>
        <v>100</v>
      </c>
      <c r="H17" s="48">
        <f t="shared" si="2"/>
        <v>62.5</v>
      </c>
      <c r="I17" s="48">
        <f t="shared" si="2"/>
        <v>5900</v>
      </c>
      <c r="J17" s="48">
        <f t="shared" ref="J17:J20" si="3">(J6/B6)*100</f>
        <v>120</v>
      </c>
      <c r="K17" s="48">
        <f t="shared" ref="K17:M20" si="4">(K6/C6)*100</f>
        <v>155</v>
      </c>
      <c r="L17" s="48">
        <f t="shared" si="4"/>
        <v>106.25</v>
      </c>
      <c r="M17" s="48">
        <f t="shared" si="4"/>
        <v>400</v>
      </c>
      <c r="N17" s="45">
        <f t="shared" si="0"/>
        <v>0</v>
      </c>
      <c r="O17" s="45">
        <f t="shared" si="0"/>
        <v>5</v>
      </c>
      <c r="P17" s="45">
        <f t="shared" ref="P17:P20" si="5">(P6/D6)*100</f>
        <v>166.66666666666669</v>
      </c>
      <c r="Q17" s="45"/>
      <c r="R17" s="45"/>
      <c r="S17" s="45"/>
      <c r="T17" s="45">
        <f t="shared" ref="T17:T19" si="6">(T6/D6)*100</f>
        <v>120.83333333333333</v>
      </c>
      <c r="U17" s="45"/>
      <c r="V17" s="45"/>
      <c r="W17" s="50"/>
      <c r="X17" s="50">
        <f t="shared" ref="X17:X20" si="7">(X6/D6)*100</f>
        <v>58.333333333333336</v>
      </c>
    </row>
    <row r="18" spans="1:24" x14ac:dyDescent="0.2">
      <c r="A18" s="44">
        <v>8</v>
      </c>
      <c r="B18" s="47">
        <v>100</v>
      </c>
      <c r="C18" s="47">
        <v>100</v>
      </c>
      <c r="D18" s="47">
        <v>100</v>
      </c>
      <c r="E18" s="47">
        <v>100</v>
      </c>
      <c r="F18" s="48">
        <f t="shared" si="1"/>
        <v>201.68067226890756</v>
      </c>
      <c r="G18" s="48">
        <f t="shared" si="2"/>
        <v>209.09090909090909</v>
      </c>
      <c r="H18" s="48">
        <f t="shared" si="2"/>
        <v>137.77777777777777</v>
      </c>
      <c r="I18" s="48">
        <f t="shared" si="2"/>
        <v>4250</v>
      </c>
      <c r="J18" s="48">
        <f t="shared" si="3"/>
        <v>20.168067226890756</v>
      </c>
      <c r="K18" s="48">
        <f t="shared" si="4"/>
        <v>381.81818181818181</v>
      </c>
      <c r="L18" s="48">
        <f t="shared" si="4"/>
        <v>42.222222222222221</v>
      </c>
      <c r="M18" s="48">
        <f t="shared" si="4"/>
        <v>1300</v>
      </c>
      <c r="N18" s="45">
        <f t="shared" si="0"/>
        <v>0</v>
      </c>
      <c r="O18" s="45">
        <f t="shared" si="0"/>
        <v>0</v>
      </c>
      <c r="P18" s="45">
        <f t="shared" si="5"/>
        <v>35.555555555555557</v>
      </c>
      <c r="Q18" s="45"/>
      <c r="R18" s="45"/>
      <c r="S18" s="45"/>
      <c r="T18" s="45">
        <f t="shared" si="6"/>
        <v>184.44444444444446</v>
      </c>
      <c r="U18" s="45"/>
      <c r="V18" s="45"/>
      <c r="W18" s="50"/>
      <c r="X18" s="50">
        <f t="shared" si="7"/>
        <v>44.444444444444443</v>
      </c>
    </row>
    <row r="19" spans="1:24" x14ac:dyDescent="0.2">
      <c r="A19" s="44">
        <v>10</v>
      </c>
      <c r="B19" s="47">
        <v>100</v>
      </c>
      <c r="C19" s="47">
        <v>100</v>
      </c>
      <c r="D19" s="47">
        <v>100</v>
      </c>
      <c r="E19" s="47">
        <v>100</v>
      </c>
      <c r="F19" s="48">
        <f t="shared" si="1"/>
        <v>156</v>
      </c>
      <c r="G19" s="48">
        <f t="shared" si="2"/>
        <v>33.333333333333329</v>
      </c>
      <c r="H19" s="48">
        <f t="shared" si="2"/>
        <v>119.67213114754098</v>
      </c>
      <c r="I19" s="48" t="e">
        <f t="shared" si="2"/>
        <v>#DIV/0!</v>
      </c>
      <c r="J19" s="48">
        <f t="shared" si="3"/>
        <v>28.000000000000004</v>
      </c>
      <c r="K19" s="48">
        <f t="shared" si="4"/>
        <v>40.74074074074074</v>
      </c>
      <c r="L19" s="48">
        <f t="shared" si="4"/>
        <v>98.360655737704917</v>
      </c>
      <c r="M19" s="48" t="e">
        <f t="shared" si="4"/>
        <v>#DIV/0!</v>
      </c>
      <c r="N19" s="45">
        <f t="shared" si="0"/>
        <v>0</v>
      </c>
      <c r="O19" s="45">
        <f t="shared" si="0"/>
        <v>0</v>
      </c>
      <c r="P19" s="45">
        <f t="shared" si="5"/>
        <v>39.344262295081968</v>
      </c>
      <c r="Q19" s="45"/>
      <c r="T19" s="45">
        <f t="shared" si="6"/>
        <v>155.73770491803279</v>
      </c>
      <c r="U19" s="45"/>
      <c r="X19" s="50">
        <f t="shared" si="7"/>
        <v>90.163934426229503</v>
      </c>
    </row>
    <row r="20" spans="1:24" x14ac:dyDescent="0.2">
      <c r="A20" s="44">
        <v>13</v>
      </c>
      <c r="B20" s="47">
        <v>100</v>
      </c>
      <c r="C20" s="47">
        <v>100</v>
      </c>
      <c r="D20" s="47">
        <v>100</v>
      </c>
      <c r="E20" s="47">
        <v>100</v>
      </c>
      <c r="F20" s="48">
        <f t="shared" si="1"/>
        <v>163.29072584626368</v>
      </c>
      <c r="G20" s="48">
        <f t="shared" si="2"/>
        <v>28.064443704661407</v>
      </c>
      <c r="H20" s="48">
        <f t="shared" si="2"/>
        <v>26.756720599026217</v>
      </c>
      <c r="I20" s="48" t="e">
        <f t="shared" si="2"/>
        <v>#DIV/0!</v>
      </c>
      <c r="J20" s="48">
        <f t="shared" si="3"/>
        <v>30.379669924886265</v>
      </c>
      <c r="K20" s="48">
        <f t="shared" si="4"/>
        <v>54.193408533139262</v>
      </c>
      <c r="L20" s="48">
        <f t="shared" si="4"/>
        <v>75.675708546339806</v>
      </c>
      <c r="M20" s="48" t="e">
        <f t="shared" si="4"/>
        <v>#DIV/0!</v>
      </c>
      <c r="N20" s="45">
        <f t="shared" si="0"/>
        <v>0</v>
      </c>
      <c r="O20" s="45">
        <f t="shared" si="0"/>
        <v>0</v>
      </c>
      <c r="P20" s="45">
        <f t="shared" si="5"/>
        <v>20.270242878050166</v>
      </c>
      <c r="Q20" s="45"/>
      <c r="T20" s="45">
        <f>(T9/D9)*100</f>
        <v>89.864878560974915</v>
      </c>
      <c r="U20" s="45"/>
      <c r="X20" s="50">
        <f t="shared" si="7"/>
        <v>93.243117239030767</v>
      </c>
    </row>
    <row r="21" spans="1:24" x14ac:dyDescent="0.2">
      <c r="A21" s="44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</row>
    <row r="22" spans="1:24" x14ac:dyDescent="0.2">
      <c r="A22" s="44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</row>
  </sheetData>
  <mergeCells count="15">
    <mergeCell ref="B12:D12"/>
    <mergeCell ref="F12:H12"/>
    <mergeCell ref="J12:L12"/>
    <mergeCell ref="V1:Y1"/>
    <mergeCell ref="V12:Y12"/>
    <mergeCell ref="N1:P1"/>
    <mergeCell ref="R1:T1"/>
    <mergeCell ref="B1:D1"/>
    <mergeCell ref="F1:H1"/>
    <mergeCell ref="J1:L1"/>
    <mergeCell ref="R12:T12"/>
    <mergeCell ref="N12:P12"/>
    <mergeCell ref="V10:X10"/>
    <mergeCell ref="R10:T10"/>
    <mergeCell ref="N10:P10"/>
  </mergeCells>
  <pageMargins left="0.7" right="0.7" top="0.75" bottom="0.75" header="0.3" footer="0.3"/>
  <ignoredErrors>
    <ignoredError sqref="J16:J2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4C03-9F43-6C4D-95FC-172504CBB43D}">
  <dimension ref="A1:AC52"/>
  <sheetViews>
    <sheetView topLeftCell="I1" zoomScale="84" zoomScaleNormal="57" workbookViewId="0">
      <selection activeCell="K2" sqref="K2:K26"/>
    </sheetView>
  </sheetViews>
  <sheetFormatPr baseColWidth="10" defaultColWidth="10.6640625" defaultRowHeight="16" x14ac:dyDescent="0.2"/>
  <cols>
    <col min="1" max="1" width="17" style="5" customWidth="1"/>
    <col min="2" max="9" width="10.83203125" style="5"/>
    <col min="10" max="10" width="11.1640625" customWidth="1"/>
    <col min="11" max="11" width="18.1640625" customWidth="1"/>
    <col min="13" max="13" width="10.83203125" style="5"/>
  </cols>
  <sheetData>
    <row r="1" spans="1:29" x14ac:dyDescent="0.2">
      <c r="A1" s="77" t="s">
        <v>69</v>
      </c>
      <c r="B1" s="77"/>
      <c r="C1" s="77"/>
      <c r="D1" s="77"/>
      <c r="E1" s="77"/>
      <c r="F1" s="77"/>
      <c r="G1" s="77"/>
      <c r="H1" s="77"/>
      <c r="I1" s="42"/>
      <c r="K1" s="76" t="s">
        <v>70</v>
      </c>
      <c r="L1" s="76"/>
      <c r="M1" s="76"/>
      <c r="N1" s="76"/>
      <c r="O1" s="76"/>
      <c r="P1" s="76"/>
      <c r="Q1" s="76"/>
      <c r="R1" s="76"/>
    </row>
    <row r="2" spans="1:29" s="5" customFormat="1" x14ac:dyDescent="0.2">
      <c r="A2" s="29" t="s">
        <v>58</v>
      </c>
      <c r="B2" s="29" t="s">
        <v>78</v>
      </c>
      <c r="C2" s="29" t="s">
        <v>0</v>
      </c>
      <c r="D2" s="29" t="s">
        <v>19</v>
      </c>
      <c r="E2" s="29" t="s">
        <v>32</v>
      </c>
      <c r="F2" s="29" t="s">
        <v>79</v>
      </c>
      <c r="G2" s="29" t="s">
        <v>80</v>
      </c>
      <c r="H2" s="29" t="s">
        <v>45</v>
      </c>
      <c r="I2" s="29"/>
      <c r="K2" s="29" t="s">
        <v>58</v>
      </c>
      <c r="L2" s="29" t="s">
        <v>78</v>
      </c>
      <c r="M2" s="29" t="s">
        <v>0</v>
      </c>
      <c r="N2" s="29" t="s">
        <v>19</v>
      </c>
      <c r="O2" s="29" t="s">
        <v>32</v>
      </c>
      <c r="P2" s="29" t="s">
        <v>79</v>
      </c>
      <c r="Q2" s="29" t="s">
        <v>80</v>
      </c>
      <c r="R2" s="29" t="s">
        <v>45</v>
      </c>
      <c r="T2" s="63"/>
      <c r="U2" s="12">
        <v>0</v>
      </c>
      <c r="V2" s="12">
        <v>1</v>
      </c>
      <c r="W2" s="12">
        <v>3</v>
      </c>
      <c r="X2" s="12">
        <v>6</v>
      </c>
      <c r="Y2" s="12">
        <v>13</v>
      </c>
    </row>
    <row r="3" spans="1:29" x14ac:dyDescent="0.2">
      <c r="A3" s="29">
        <v>1</v>
      </c>
      <c r="B3" s="18">
        <v>1000000</v>
      </c>
      <c r="C3" s="18" t="s">
        <v>71</v>
      </c>
      <c r="D3" s="18">
        <v>682500</v>
      </c>
      <c r="E3" s="18">
        <v>175000</v>
      </c>
      <c r="F3" s="18">
        <v>148750</v>
      </c>
      <c r="G3" s="18">
        <v>125000</v>
      </c>
      <c r="H3" s="18">
        <v>131667</v>
      </c>
      <c r="I3" s="40" t="s">
        <v>72</v>
      </c>
      <c r="K3" s="29">
        <v>1</v>
      </c>
      <c r="L3" s="18">
        <v>1000000</v>
      </c>
      <c r="M3" s="18">
        <v>446250</v>
      </c>
      <c r="N3" s="18">
        <v>297500</v>
      </c>
      <c r="O3" s="18">
        <v>61250</v>
      </c>
      <c r="P3" s="18" t="s">
        <v>71</v>
      </c>
      <c r="Q3" s="18" t="s">
        <v>71</v>
      </c>
      <c r="R3" s="18">
        <v>75000</v>
      </c>
      <c r="S3" s="40" t="s">
        <v>72</v>
      </c>
      <c r="T3" s="64" t="s">
        <v>82</v>
      </c>
      <c r="U3" s="65">
        <f>AVERAGE(L3,L9,L15,L21)</f>
        <v>1000000</v>
      </c>
      <c r="V3" s="65">
        <f t="shared" ref="V3:X3" si="0">AVERAGE(M3,M9,M15,M21)</f>
        <v>253750</v>
      </c>
      <c r="W3" s="65">
        <f t="shared" si="0"/>
        <v>140000</v>
      </c>
      <c r="X3" s="65">
        <f t="shared" si="0"/>
        <v>71093.75</v>
      </c>
      <c r="Y3" s="65">
        <f>AVERAGE(R3,R9,R15,R21)</f>
        <v>54375</v>
      </c>
    </row>
    <row r="4" spans="1:29" x14ac:dyDescent="0.2">
      <c r="A4" s="29">
        <v>2</v>
      </c>
      <c r="B4" s="18">
        <v>1000000</v>
      </c>
      <c r="C4" s="18" t="s">
        <v>71</v>
      </c>
      <c r="D4" s="18">
        <v>306250</v>
      </c>
      <c r="E4" s="18">
        <v>323750</v>
      </c>
      <c r="F4" s="18">
        <v>300000</v>
      </c>
      <c r="G4" s="18">
        <v>195000</v>
      </c>
      <c r="H4" s="18">
        <v>215000</v>
      </c>
      <c r="I4" s="40" t="s">
        <v>73</v>
      </c>
      <c r="K4" s="29">
        <v>2</v>
      </c>
      <c r="L4" s="18">
        <v>1000000</v>
      </c>
      <c r="M4" s="18">
        <v>240625</v>
      </c>
      <c r="N4" s="18">
        <v>140000</v>
      </c>
      <c r="O4" s="18">
        <v>161875</v>
      </c>
      <c r="P4" s="18" t="s">
        <v>71</v>
      </c>
      <c r="Q4" s="18" t="s">
        <v>71</v>
      </c>
      <c r="R4" s="18">
        <v>82500</v>
      </c>
      <c r="S4" s="40" t="s">
        <v>73</v>
      </c>
      <c r="T4" s="64" t="s">
        <v>83</v>
      </c>
      <c r="U4" s="65">
        <f>AVERAGE(L4,L10,L16,L22)</f>
        <v>1000000</v>
      </c>
      <c r="V4" s="65">
        <f>AVERAGE(M4,M10,M16,M22)</f>
        <v>247187.5</v>
      </c>
      <c r="W4" s="65">
        <f>AVERAGE(N4,N10,N16,N22)</f>
        <v>120312.5</v>
      </c>
      <c r="X4" s="65">
        <f>AVERAGE(O4,O10,O16,O22)</f>
        <v>155312.5</v>
      </c>
      <c r="Y4" s="65">
        <f>AVERAGE(R4,R10,R16,R22)</f>
        <v>71250</v>
      </c>
    </row>
    <row r="5" spans="1:29" x14ac:dyDescent="0.2">
      <c r="A5" s="29">
        <v>3</v>
      </c>
      <c r="B5" s="18">
        <v>1000000</v>
      </c>
      <c r="C5" s="18" t="s">
        <v>71</v>
      </c>
      <c r="D5" s="18">
        <v>332500</v>
      </c>
      <c r="E5" s="18">
        <v>210000</v>
      </c>
      <c r="F5" s="18">
        <v>30000</v>
      </c>
      <c r="G5" s="18">
        <v>35000</v>
      </c>
      <c r="H5" s="18">
        <v>40000</v>
      </c>
      <c r="I5" s="40" t="s">
        <v>74</v>
      </c>
      <c r="K5" s="29">
        <v>3</v>
      </c>
      <c r="L5" s="18">
        <v>1000000</v>
      </c>
      <c r="M5" s="18">
        <v>262500</v>
      </c>
      <c r="N5" s="18">
        <v>122500</v>
      </c>
      <c r="O5" s="18">
        <v>105000</v>
      </c>
      <c r="P5" s="18" t="s">
        <v>71</v>
      </c>
      <c r="Q5" s="18" t="s">
        <v>71</v>
      </c>
      <c r="R5" s="18">
        <v>40000</v>
      </c>
      <c r="S5" s="40" t="s">
        <v>74</v>
      </c>
      <c r="T5" s="64" t="s">
        <v>120</v>
      </c>
      <c r="U5" s="65">
        <f>AVERAGE(L5,L11,L17,L23)</f>
        <v>1000000</v>
      </c>
      <c r="V5" s="65">
        <f t="shared" ref="V5:X5" si="1">AVERAGE(M5,M11,M17,M23)</f>
        <v>225312.5</v>
      </c>
      <c r="W5" s="65">
        <f>AVERAGE(N5,N11,N17,N23)</f>
        <v>73281.25</v>
      </c>
      <c r="X5" s="65">
        <f t="shared" si="1"/>
        <v>92968.75</v>
      </c>
      <c r="Y5" s="65">
        <f>AVERAGE(R5,R11,R17,R23)</f>
        <v>50000</v>
      </c>
    </row>
    <row r="6" spans="1:29" x14ac:dyDescent="0.2">
      <c r="A6" s="29">
        <v>4</v>
      </c>
      <c r="B6" s="18">
        <v>1000000</v>
      </c>
      <c r="C6" s="18" t="s">
        <v>71</v>
      </c>
      <c r="D6" s="18">
        <v>26250</v>
      </c>
      <c r="E6" s="18">
        <v>0</v>
      </c>
      <c r="F6" s="18">
        <v>0</v>
      </c>
      <c r="G6" s="18">
        <v>0</v>
      </c>
      <c r="H6" s="18">
        <v>0</v>
      </c>
      <c r="I6" s="40" t="s">
        <v>75</v>
      </c>
      <c r="K6" s="29">
        <v>4</v>
      </c>
      <c r="L6" s="18">
        <v>1000000</v>
      </c>
      <c r="M6" s="18">
        <v>87500</v>
      </c>
      <c r="N6" s="18">
        <v>8750</v>
      </c>
      <c r="O6" s="18">
        <v>0</v>
      </c>
      <c r="P6" s="18" t="s">
        <v>71</v>
      </c>
      <c r="Q6" s="18" t="s">
        <v>71</v>
      </c>
      <c r="R6" s="18">
        <v>2500</v>
      </c>
      <c r="S6" s="40" t="s">
        <v>75</v>
      </c>
      <c r="T6" s="64" t="s">
        <v>121</v>
      </c>
      <c r="U6" s="65">
        <f>AVERAGE(L6,L12,L18,L24)</f>
        <v>1000000</v>
      </c>
      <c r="V6" s="65">
        <f>AVERAGE(M6,M12,M18,M24)</f>
        <v>88593.75</v>
      </c>
      <c r="W6" s="65">
        <f>AVERAGE(N6,N12,N18,N24)</f>
        <v>22968.75</v>
      </c>
      <c r="X6" s="65">
        <f t="shared" ref="X6" si="2">AVERAGE(O6,O12,O18,O24)</f>
        <v>15312.5</v>
      </c>
      <c r="Y6" s="65">
        <f>AVERAGE(R6,R12,R18)</f>
        <v>5833.333333333333</v>
      </c>
    </row>
    <row r="7" spans="1:29" x14ac:dyDescent="0.2">
      <c r="A7" s="29">
        <v>5</v>
      </c>
      <c r="B7" s="18">
        <v>1000000</v>
      </c>
      <c r="C7" s="18" t="s">
        <v>71</v>
      </c>
      <c r="D7" s="18">
        <v>70000</v>
      </c>
      <c r="E7" s="18">
        <v>160250</v>
      </c>
      <c r="F7" s="18">
        <v>145000</v>
      </c>
      <c r="G7" s="18">
        <v>85000</v>
      </c>
      <c r="H7" s="18">
        <v>5000</v>
      </c>
      <c r="I7" s="40"/>
      <c r="K7" s="29">
        <v>5</v>
      </c>
      <c r="L7" s="18">
        <v>1000000</v>
      </c>
      <c r="M7" s="5">
        <v>0</v>
      </c>
      <c r="N7" s="18">
        <v>0</v>
      </c>
      <c r="O7" s="18">
        <v>0</v>
      </c>
      <c r="P7" s="18" t="s">
        <v>71</v>
      </c>
      <c r="Q7" s="18" t="s">
        <v>71</v>
      </c>
      <c r="R7" s="18">
        <v>0</v>
      </c>
      <c r="S7" s="40"/>
    </row>
    <row r="8" spans="1:29" x14ac:dyDescent="0.2">
      <c r="A8" s="29">
        <v>6</v>
      </c>
      <c r="B8" s="18">
        <v>1000000</v>
      </c>
      <c r="C8" s="18" t="s">
        <v>71</v>
      </c>
      <c r="D8" s="18">
        <v>113750</v>
      </c>
      <c r="E8" s="18">
        <v>61250</v>
      </c>
      <c r="F8" s="18">
        <v>65000</v>
      </c>
      <c r="G8" s="18">
        <v>30000</v>
      </c>
      <c r="H8" s="18">
        <v>0</v>
      </c>
      <c r="I8" s="40"/>
      <c r="K8" s="29">
        <v>6</v>
      </c>
      <c r="L8" s="18">
        <v>1000000</v>
      </c>
      <c r="M8" s="5" t="s">
        <v>71</v>
      </c>
      <c r="N8" s="18" t="s">
        <v>71</v>
      </c>
      <c r="O8" s="18" t="s">
        <v>71</v>
      </c>
      <c r="P8" s="18" t="s">
        <v>71</v>
      </c>
      <c r="Q8" s="18" t="s">
        <v>71</v>
      </c>
      <c r="R8" s="18" t="s">
        <v>71</v>
      </c>
      <c r="S8" s="40"/>
      <c r="U8" s="12" t="s">
        <v>78</v>
      </c>
      <c r="V8" s="12" t="s">
        <v>0</v>
      </c>
      <c r="W8" s="12" t="s">
        <v>19</v>
      </c>
      <c r="X8" s="12" t="s">
        <v>32</v>
      </c>
      <c r="Y8" s="12" t="s">
        <v>45</v>
      </c>
    </row>
    <row r="9" spans="1:29" x14ac:dyDescent="0.2">
      <c r="A9" s="29">
        <v>7</v>
      </c>
      <c r="B9" s="18">
        <v>1000000</v>
      </c>
      <c r="C9" s="18" t="s">
        <v>71</v>
      </c>
      <c r="D9" s="18">
        <v>183750</v>
      </c>
      <c r="E9" s="18">
        <v>175000</v>
      </c>
      <c r="F9" s="18">
        <v>55000</v>
      </c>
      <c r="G9" s="18">
        <v>135000</v>
      </c>
      <c r="H9" s="18">
        <v>258334</v>
      </c>
      <c r="I9" s="40" t="s">
        <v>72</v>
      </c>
      <c r="K9" s="29">
        <v>7</v>
      </c>
      <c r="L9" s="18">
        <v>1000000</v>
      </c>
      <c r="M9" s="5" t="s">
        <v>68</v>
      </c>
      <c r="N9" s="18">
        <v>131250</v>
      </c>
      <c r="O9" s="18">
        <v>78750</v>
      </c>
      <c r="P9" s="18" t="s">
        <v>71</v>
      </c>
      <c r="Q9" s="18" t="s">
        <v>71</v>
      </c>
      <c r="R9" s="18">
        <v>37500</v>
      </c>
      <c r="S9" s="40" t="s">
        <v>72</v>
      </c>
      <c r="T9" s="64" t="s">
        <v>72</v>
      </c>
      <c r="U9">
        <f>_xlfn.STDEV.P(L3,L9,L15,L21)</f>
        <v>0</v>
      </c>
      <c r="V9">
        <f>_xlfn.STDEV.P(M3,M9,M15,M21)</f>
        <v>157175.59182858726</v>
      </c>
      <c r="W9">
        <f t="shared" ref="W9:X9" si="3">_xlfn.STDEV.P(N3,N9,N15,N21)</f>
        <v>98801.410668066877</v>
      </c>
      <c r="X9">
        <f t="shared" si="3"/>
        <v>42233.481885673362</v>
      </c>
      <c r="Y9">
        <f>_xlfn.STDEV.P(R3,R9,R15,R21)</f>
        <v>39464.184712217226</v>
      </c>
    </row>
    <row r="10" spans="1:29" x14ac:dyDescent="0.2">
      <c r="A10" s="29">
        <v>8</v>
      </c>
      <c r="B10" s="18">
        <v>1000000</v>
      </c>
      <c r="C10" s="18" t="s">
        <v>71</v>
      </c>
      <c r="D10" s="18">
        <v>306250</v>
      </c>
      <c r="E10" s="18">
        <v>175000</v>
      </c>
      <c r="F10" s="18">
        <v>115000</v>
      </c>
      <c r="G10" s="18">
        <v>45000</v>
      </c>
      <c r="H10" s="18">
        <v>72500</v>
      </c>
      <c r="I10" s="40" t="s">
        <v>73</v>
      </c>
      <c r="K10" s="29">
        <v>8</v>
      </c>
      <c r="L10" s="18">
        <v>1000000</v>
      </c>
      <c r="M10" s="18">
        <v>214375</v>
      </c>
      <c r="N10" s="18">
        <v>74375</v>
      </c>
      <c r="O10" s="18">
        <v>74375</v>
      </c>
      <c r="P10" s="18" t="s">
        <v>71</v>
      </c>
      <c r="Q10" s="18" t="s">
        <v>71</v>
      </c>
      <c r="R10" s="18">
        <v>20000</v>
      </c>
      <c r="S10" s="40" t="s">
        <v>73</v>
      </c>
      <c r="T10" s="64" t="s">
        <v>73</v>
      </c>
      <c r="U10">
        <f>_xlfn.STDEV.P(L4,L10,L16,L22)</f>
        <v>0</v>
      </c>
      <c r="V10">
        <f t="shared" ref="V10:X10" si="4">_xlfn.STDEV.P(M4,M10,M16,M22)</f>
        <v>51254.763498137421</v>
      </c>
      <c r="W10">
        <f t="shared" si="4"/>
        <v>42020.502808153069</v>
      </c>
      <c r="X10">
        <f t="shared" si="4"/>
        <v>83498.339242466376</v>
      </c>
      <c r="Y10">
        <f>_xlfn.STDEV.P(R4,R10,R16,R22)</f>
        <v>42957.100693598957</v>
      </c>
      <c r="Z10" s="66"/>
      <c r="AA10" s="66"/>
      <c r="AB10" s="66"/>
      <c r="AC10" s="66"/>
    </row>
    <row r="11" spans="1:29" x14ac:dyDescent="0.2">
      <c r="A11" s="29">
        <v>9</v>
      </c>
      <c r="B11" s="18">
        <v>1000000</v>
      </c>
      <c r="C11" s="18" t="s">
        <v>71</v>
      </c>
      <c r="D11" s="18">
        <v>341250</v>
      </c>
      <c r="E11" s="18">
        <v>271250</v>
      </c>
      <c r="F11" s="18">
        <v>210000</v>
      </c>
      <c r="G11" s="18">
        <v>55000</v>
      </c>
      <c r="H11" s="18">
        <v>140000</v>
      </c>
      <c r="I11" s="40" t="s">
        <v>74</v>
      </c>
      <c r="K11" s="29">
        <v>9</v>
      </c>
      <c r="L11" s="18">
        <v>1000000</v>
      </c>
      <c r="M11" s="18">
        <v>210000</v>
      </c>
      <c r="N11" s="18">
        <v>56875</v>
      </c>
      <c r="O11" s="18">
        <v>113750</v>
      </c>
      <c r="P11" s="18" t="s">
        <v>71</v>
      </c>
      <c r="Q11" s="18" t="s">
        <v>71</v>
      </c>
      <c r="R11" s="18">
        <v>80000</v>
      </c>
      <c r="S11" s="40" t="s">
        <v>74</v>
      </c>
      <c r="T11" s="64" t="s">
        <v>74</v>
      </c>
      <c r="U11">
        <f>_xlfn.STDEV.P(L5,L11,L17,L23)</f>
        <v>0</v>
      </c>
      <c r="V11">
        <f t="shared" ref="V11:X11" si="5">_xlfn.STDEV.P(M5,M11,M17,M23)</f>
        <v>24845.224012876199</v>
      </c>
      <c r="W11">
        <f t="shared" si="5"/>
        <v>37682.82257458297</v>
      </c>
      <c r="X11">
        <f t="shared" si="5"/>
        <v>21737.851312572271</v>
      </c>
      <c r="Y11">
        <f>_xlfn.STDEV.P(R5,R11,R17,R23)</f>
        <v>20310.0960115899</v>
      </c>
      <c r="Z11" s="66"/>
      <c r="AA11" s="66"/>
      <c r="AB11" s="66"/>
      <c r="AC11" s="66"/>
    </row>
    <row r="12" spans="1:29" x14ac:dyDescent="0.2">
      <c r="A12" s="29">
        <v>10</v>
      </c>
      <c r="B12" s="18">
        <v>1000000</v>
      </c>
      <c r="C12" s="18" t="s">
        <v>71</v>
      </c>
      <c r="D12" s="18">
        <v>43750</v>
      </c>
      <c r="E12" s="18">
        <v>8750</v>
      </c>
      <c r="F12" s="18">
        <v>0</v>
      </c>
      <c r="G12" s="18">
        <v>0</v>
      </c>
      <c r="H12" s="18">
        <v>0</v>
      </c>
      <c r="I12" s="40" t="s">
        <v>75</v>
      </c>
      <c r="K12" s="29">
        <v>10</v>
      </c>
      <c r="L12" s="18">
        <v>1000000</v>
      </c>
      <c r="M12" s="18">
        <v>61250</v>
      </c>
      <c r="N12" s="18">
        <v>4375</v>
      </c>
      <c r="O12" s="18">
        <v>8750</v>
      </c>
      <c r="P12" s="18" t="s">
        <v>71</v>
      </c>
      <c r="Q12" s="18" t="s">
        <v>71</v>
      </c>
      <c r="R12" s="18">
        <v>0</v>
      </c>
      <c r="S12" s="40" t="s">
        <v>75</v>
      </c>
      <c r="T12" s="64" t="s">
        <v>109</v>
      </c>
      <c r="U12">
        <f>_xlfn.STDEV.P(L7,L13,L19,L25)</f>
        <v>0</v>
      </c>
      <c r="V12">
        <f t="shared" ref="V12:X12" si="6">_xlfn.STDEV.P(M7,M13,M19,M25)</f>
        <v>119349.12595904295</v>
      </c>
      <c r="W12">
        <f t="shared" si="6"/>
        <v>68199.500548024545</v>
      </c>
      <c r="X12">
        <f t="shared" si="6"/>
        <v>49255.19484023995</v>
      </c>
      <c r="Y12">
        <f>_xlfn.STDEV.P(R7,R13,R19,R25)</f>
        <v>38971.143170299736</v>
      </c>
      <c r="Z12" s="66" t="s">
        <v>110</v>
      </c>
      <c r="AA12" s="66"/>
      <c r="AB12" s="66"/>
      <c r="AC12" s="66"/>
    </row>
    <row r="13" spans="1:29" x14ac:dyDescent="0.2">
      <c r="A13" s="29">
        <v>11</v>
      </c>
      <c r="B13" s="18">
        <v>1000000</v>
      </c>
      <c r="C13" s="18" t="s">
        <v>71</v>
      </c>
      <c r="D13" s="18">
        <v>8750</v>
      </c>
      <c r="E13" s="18">
        <v>0</v>
      </c>
      <c r="F13" s="18">
        <v>0</v>
      </c>
      <c r="G13" s="18">
        <v>0</v>
      </c>
      <c r="H13" s="18">
        <v>0</v>
      </c>
      <c r="I13" s="40"/>
      <c r="K13" s="29">
        <v>11</v>
      </c>
      <c r="L13" s="18">
        <v>1000000</v>
      </c>
      <c r="M13" s="5">
        <v>0</v>
      </c>
      <c r="N13" s="5">
        <v>0</v>
      </c>
      <c r="O13" s="18">
        <v>0</v>
      </c>
      <c r="P13" s="18" t="s">
        <v>71</v>
      </c>
      <c r="Q13" s="18" t="s">
        <v>71</v>
      </c>
      <c r="R13" s="18">
        <v>0</v>
      </c>
      <c r="S13" s="40"/>
      <c r="Z13" s="66" t="s">
        <v>111</v>
      </c>
      <c r="AA13" s="66"/>
      <c r="AB13" s="66"/>
      <c r="AC13" s="66"/>
    </row>
    <row r="14" spans="1:29" x14ac:dyDescent="0.2">
      <c r="A14" s="29">
        <v>12</v>
      </c>
      <c r="B14" s="18">
        <v>1000000</v>
      </c>
      <c r="C14" s="18" t="s">
        <v>71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40"/>
      <c r="K14" s="29">
        <v>12</v>
      </c>
      <c r="L14" s="18">
        <v>1000000</v>
      </c>
      <c r="M14" s="5" t="s">
        <v>71</v>
      </c>
      <c r="N14" s="5" t="s">
        <v>71</v>
      </c>
      <c r="O14" s="18" t="s">
        <v>71</v>
      </c>
      <c r="P14" s="18" t="s">
        <v>71</v>
      </c>
      <c r="Q14" s="18" t="s">
        <v>71</v>
      </c>
      <c r="R14" s="18" t="s">
        <v>71</v>
      </c>
      <c r="S14" s="40"/>
      <c r="Z14" s="66" t="s">
        <v>112</v>
      </c>
      <c r="AA14" s="66"/>
      <c r="AB14" s="66"/>
      <c r="AC14" s="66"/>
    </row>
    <row r="15" spans="1:29" x14ac:dyDescent="0.2">
      <c r="A15" s="29">
        <v>13</v>
      </c>
      <c r="B15" s="18">
        <v>1000000</v>
      </c>
      <c r="C15" s="18" t="s">
        <v>71</v>
      </c>
      <c r="D15" s="18">
        <v>350000</v>
      </c>
      <c r="E15" s="18">
        <v>420000</v>
      </c>
      <c r="F15" s="18">
        <v>225000</v>
      </c>
      <c r="G15" s="18">
        <v>305000</v>
      </c>
      <c r="H15" s="18">
        <v>246667</v>
      </c>
      <c r="I15" s="40" t="s">
        <v>72</v>
      </c>
      <c r="K15" s="29">
        <v>13</v>
      </c>
      <c r="L15" s="18">
        <v>1000000</v>
      </c>
      <c r="M15" s="18">
        <v>253750</v>
      </c>
      <c r="N15" s="18">
        <v>105000</v>
      </c>
      <c r="O15" s="18">
        <v>131250</v>
      </c>
      <c r="P15" s="18" t="s">
        <v>71</v>
      </c>
      <c r="Q15" s="18" t="s">
        <v>71</v>
      </c>
      <c r="R15" s="18">
        <v>105000</v>
      </c>
      <c r="S15" s="40" t="s">
        <v>72</v>
      </c>
      <c r="Z15" s="66"/>
      <c r="AA15" s="66"/>
      <c r="AB15" s="66"/>
      <c r="AC15" s="66"/>
    </row>
    <row r="16" spans="1:29" x14ac:dyDescent="0.2">
      <c r="A16" s="29">
        <v>14</v>
      </c>
      <c r="B16" s="18">
        <v>1000000</v>
      </c>
      <c r="C16" s="18" t="s">
        <v>71</v>
      </c>
      <c r="D16" s="18">
        <v>341250</v>
      </c>
      <c r="E16" s="18">
        <v>262500</v>
      </c>
      <c r="F16" s="18">
        <v>310000</v>
      </c>
      <c r="G16" s="18">
        <v>365000</v>
      </c>
      <c r="H16" s="18">
        <v>66000</v>
      </c>
      <c r="I16" s="40" t="s">
        <v>73</v>
      </c>
      <c r="K16" s="29">
        <v>14</v>
      </c>
      <c r="L16" s="18">
        <v>1000000</v>
      </c>
      <c r="M16" s="18">
        <v>201250</v>
      </c>
      <c r="N16" s="18">
        <v>87500</v>
      </c>
      <c r="O16" s="18">
        <v>96250</v>
      </c>
      <c r="P16" s="18" t="s">
        <v>71</v>
      </c>
      <c r="Q16" s="18" t="s">
        <v>71</v>
      </c>
      <c r="R16" s="18">
        <v>47500</v>
      </c>
      <c r="S16" s="40" t="s">
        <v>73</v>
      </c>
      <c r="Z16" s="66"/>
      <c r="AA16" s="66"/>
      <c r="AB16" s="66"/>
      <c r="AC16" s="66"/>
    </row>
    <row r="17" spans="1:29" x14ac:dyDescent="0.2">
      <c r="A17" s="29">
        <v>15</v>
      </c>
      <c r="B17" s="18">
        <v>1000000</v>
      </c>
      <c r="C17" s="18" t="s">
        <v>71</v>
      </c>
      <c r="D17" s="18">
        <v>87500</v>
      </c>
      <c r="E17" s="18">
        <v>446250</v>
      </c>
      <c r="F17" s="18">
        <v>95000</v>
      </c>
      <c r="G17" s="18">
        <v>300000</v>
      </c>
      <c r="H17" s="18">
        <v>186667</v>
      </c>
      <c r="I17" s="40" t="s">
        <v>74</v>
      </c>
      <c r="K17" s="29">
        <v>15</v>
      </c>
      <c r="L17" s="18">
        <v>1000000</v>
      </c>
      <c r="M17" s="18">
        <v>231875</v>
      </c>
      <c r="N17" s="18">
        <v>91875</v>
      </c>
      <c r="O17" s="18">
        <v>96250</v>
      </c>
      <c r="P17" s="18" t="s">
        <v>71</v>
      </c>
      <c r="Q17" s="18" t="s">
        <v>71</v>
      </c>
      <c r="R17" s="18">
        <v>55000</v>
      </c>
      <c r="S17" s="40" t="s">
        <v>74</v>
      </c>
      <c r="Z17" s="66"/>
      <c r="AA17" s="66"/>
      <c r="AB17" s="66"/>
      <c r="AC17" s="66"/>
    </row>
    <row r="18" spans="1:29" x14ac:dyDescent="0.2">
      <c r="A18" s="29">
        <v>16</v>
      </c>
      <c r="B18" s="18">
        <v>1000000</v>
      </c>
      <c r="C18" s="18" t="s">
        <v>71</v>
      </c>
      <c r="D18" s="18">
        <v>183750</v>
      </c>
      <c r="E18" s="18">
        <v>700000</v>
      </c>
      <c r="F18" s="18">
        <v>80000</v>
      </c>
      <c r="G18" s="18">
        <v>120000</v>
      </c>
      <c r="H18" s="18">
        <v>50000</v>
      </c>
      <c r="I18" s="40" t="s">
        <v>75</v>
      </c>
      <c r="K18" s="29">
        <v>16</v>
      </c>
      <c r="L18" s="18">
        <v>1000000</v>
      </c>
      <c r="M18" s="18">
        <v>205625</v>
      </c>
      <c r="N18" s="18">
        <v>78750</v>
      </c>
      <c r="O18" s="18">
        <v>52500</v>
      </c>
      <c r="P18" s="18" t="s">
        <v>71</v>
      </c>
      <c r="Q18" s="18" t="s">
        <v>71</v>
      </c>
      <c r="R18" s="18">
        <v>15000</v>
      </c>
      <c r="S18" s="40" t="s">
        <v>75</v>
      </c>
      <c r="Z18" s="66"/>
      <c r="AA18" s="66"/>
      <c r="AB18" s="66"/>
      <c r="AC18" s="66"/>
    </row>
    <row r="19" spans="1:29" x14ac:dyDescent="0.2">
      <c r="A19" s="29">
        <v>17</v>
      </c>
      <c r="B19" s="18">
        <v>1000000</v>
      </c>
      <c r="C19" s="18" t="s">
        <v>71</v>
      </c>
      <c r="D19" s="18">
        <v>525000</v>
      </c>
      <c r="E19" s="18">
        <v>507500</v>
      </c>
      <c r="F19" s="18">
        <v>415000</v>
      </c>
      <c r="G19" s="18">
        <v>475000</v>
      </c>
      <c r="H19" s="18">
        <v>221667</v>
      </c>
      <c r="I19" s="40" t="s">
        <v>76</v>
      </c>
      <c r="K19" s="29">
        <v>17</v>
      </c>
      <c r="L19" s="18">
        <v>1000000</v>
      </c>
      <c r="M19" s="18">
        <v>275625</v>
      </c>
      <c r="N19" s="18">
        <v>157500</v>
      </c>
      <c r="O19" s="18">
        <v>113750</v>
      </c>
      <c r="P19" s="18" t="s">
        <v>71</v>
      </c>
      <c r="Q19" s="18" t="s">
        <v>71</v>
      </c>
      <c r="R19" s="18">
        <v>90000</v>
      </c>
      <c r="S19" s="40" t="s">
        <v>76</v>
      </c>
      <c r="Z19" s="66"/>
      <c r="AA19" s="66"/>
      <c r="AB19" s="66"/>
      <c r="AC19" s="66"/>
    </row>
    <row r="20" spans="1:29" x14ac:dyDescent="0.2">
      <c r="A20" s="29">
        <v>18</v>
      </c>
      <c r="B20" s="18">
        <v>1000000</v>
      </c>
      <c r="C20" s="18" t="s">
        <v>71</v>
      </c>
      <c r="D20" s="18">
        <v>78750</v>
      </c>
      <c r="E20" s="18">
        <v>245000</v>
      </c>
      <c r="F20" s="18">
        <v>100000</v>
      </c>
      <c r="G20" s="18">
        <v>275000</v>
      </c>
      <c r="H20" s="18">
        <v>230000</v>
      </c>
      <c r="I20" s="40" t="s">
        <v>77</v>
      </c>
      <c r="K20" s="29">
        <v>18</v>
      </c>
      <c r="L20" s="18">
        <v>1000000</v>
      </c>
      <c r="M20" s="18">
        <v>196875</v>
      </c>
      <c r="N20" s="18">
        <v>74375</v>
      </c>
      <c r="O20" s="18">
        <v>105000</v>
      </c>
      <c r="P20" s="18" t="s">
        <v>71</v>
      </c>
      <c r="Q20" s="18" t="s">
        <v>71</v>
      </c>
      <c r="R20" s="18">
        <v>37500</v>
      </c>
      <c r="S20" s="40" t="s">
        <v>77</v>
      </c>
      <c r="Z20" s="66"/>
      <c r="AA20" s="66"/>
      <c r="AB20" s="66"/>
      <c r="AC20" s="66"/>
    </row>
    <row r="21" spans="1:29" x14ac:dyDescent="0.2">
      <c r="A21" s="29">
        <v>19</v>
      </c>
      <c r="B21" s="18">
        <v>1000000</v>
      </c>
      <c r="C21" s="18" t="s">
        <v>71</v>
      </c>
      <c r="D21" s="18">
        <v>70000</v>
      </c>
      <c r="E21" s="18">
        <v>8750</v>
      </c>
      <c r="F21" s="18">
        <v>10000</v>
      </c>
      <c r="G21" s="18">
        <v>0</v>
      </c>
      <c r="H21" s="18">
        <v>0</v>
      </c>
      <c r="I21" s="40" t="s">
        <v>72</v>
      </c>
      <c r="K21" s="29">
        <v>19</v>
      </c>
      <c r="L21" s="18">
        <v>1000000</v>
      </c>
      <c r="M21" s="18">
        <v>61250</v>
      </c>
      <c r="N21" s="18">
        <v>26250</v>
      </c>
      <c r="O21" s="18">
        <v>13125</v>
      </c>
      <c r="P21" s="18" t="s">
        <v>71</v>
      </c>
      <c r="Q21" s="18" t="s">
        <v>71</v>
      </c>
      <c r="R21" s="18">
        <v>0</v>
      </c>
      <c r="S21" s="40" t="s">
        <v>72</v>
      </c>
      <c r="Z21" s="66"/>
      <c r="AA21" s="66"/>
      <c r="AB21" s="66"/>
      <c r="AC21" s="66"/>
    </row>
    <row r="22" spans="1:29" x14ac:dyDescent="0.2">
      <c r="A22" s="29">
        <v>20</v>
      </c>
      <c r="B22" s="18">
        <v>1000000</v>
      </c>
      <c r="C22" s="18" t="s">
        <v>71</v>
      </c>
      <c r="D22" s="18">
        <v>385000</v>
      </c>
      <c r="E22" s="18">
        <v>516250</v>
      </c>
      <c r="F22" s="18">
        <v>425000</v>
      </c>
      <c r="G22" s="18">
        <v>430000</v>
      </c>
      <c r="H22" s="18">
        <v>46667</v>
      </c>
      <c r="I22" s="40" t="s">
        <v>73</v>
      </c>
      <c r="K22" s="29">
        <v>20</v>
      </c>
      <c r="L22" s="18">
        <v>1000000</v>
      </c>
      <c r="M22" s="18">
        <v>332500</v>
      </c>
      <c r="N22" s="18">
        <v>179375</v>
      </c>
      <c r="O22" s="18">
        <v>288750</v>
      </c>
      <c r="P22" s="18" t="s">
        <v>71</v>
      </c>
      <c r="Q22" s="18" t="s">
        <v>71</v>
      </c>
      <c r="R22" s="18">
        <v>135000</v>
      </c>
      <c r="S22" s="40" t="s">
        <v>73</v>
      </c>
      <c r="Z22" s="66"/>
      <c r="AA22" s="66"/>
      <c r="AB22" s="66"/>
      <c r="AC22" s="66"/>
    </row>
    <row r="23" spans="1:29" x14ac:dyDescent="0.2">
      <c r="A23" s="29">
        <v>21</v>
      </c>
      <c r="B23" s="18">
        <v>1000000</v>
      </c>
      <c r="C23" s="18" t="s">
        <v>71</v>
      </c>
      <c r="D23" s="18">
        <v>201250</v>
      </c>
      <c r="E23" s="18">
        <v>35000</v>
      </c>
      <c r="F23" s="18">
        <v>130000</v>
      </c>
      <c r="G23" s="18">
        <v>85000</v>
      </c>
      <c r="H23" s="18">
        <v>108334</v>
      </c>
      <c r="I23" s="40" t="s">
        <v>74</v>
      </c>
      <c r="K23" s="29">
        <v>21</v>
      </c>
      <c r="L23" s="18">
        <v>1000000</v>
      </c>
      <c r="M23" s="18">
        <v>196875</v>
      </c>
      <c r="N23" s="18">
        <v>21875</v>
      </c>
      <c r="O23" s="18">
        <v>56875</v>
      </c>
      <c r="P23" s="18" t="s">
        <v>71</v>
      </c>
      <c r="Q23" s="18" t="s">
        <v>71</v>
      </c>
      <c r="R23" s="18">
        <v>25000</v>
      </c>
      <c r="S23" s="40" t="s">
        <v>74</v>
      </c>
    </row>
    <row r="24" spans="1:29" x14ac:dyDescent="0.2">
      <c r="A24" s="29">
        <v>22</v>
      </c>
      <c r="B24" s="18">
        <v>1000000</v>
      </c>
      <c r="C24" s="18" t="s">
        <v>71</v>
      </c>
      <c r="D24" s="18">
        <v>43750</v>
      </c>
      <c r="E24" s="18">
        <v>17500</v>
      </c>
      <c r="F24" s="18">
        <v>15000</v>
      </c>
      <c r="G24" s="18">
        <v>10000</v>
      </c>
      <c r="H24" s="18">
        <v>10000</v>
      </c>
      <c r="I24" s="18"/>
      <c r="K24" s="29">
        <v>22</v>
      </c>
      <c r="L24" s="18">
        <v>1000000</v>
      </c>
      <c r="M24" s="18">
        <v>0</v>
      </c>
      <c r="N24" s="5">
        <v>0</v>
      </c>
      <c r="O24" s="5">
        <v>0</v>
      </c>
      <c r="P24" s="18"/>
      <c r="Q24" s="18" t="s">
        <v>71</v>
      </c>
      <c r="R24" s="18">
        <v>0</v>
      </c>
    </row>
    <row r="25" spans="1:29" x14ac:dyDescent="0.2">
      <c r="A25" s="29">
        <v>23</v>
      </c>
      <c r="B25" s="18">
        <v>1000000</v>
      </c>
      <c r="C25" s="18" t="s">
        <v>71</v>
      </c>
      <c r="D25" s="18">
        <v>350000</v>
      </c>
      <c r="E25" s="18">
        <v>437500</v>
      </c>
      <c r="F25" s="18">
        <v>435000</v>
      </c>
      <c r="G25" s="18">
        <v>162500</v>
      </c>
      <c r="H25" s="18">
        <v>26667</v>
      </c>
      <c r="I25" s="18"/>
      <c r="K25" s="29">
        <v>23</v>
      </c>
      <c r="L25" s="18">
        <v>1000000</v>
      </c>
      <c r="M25" s="18">
        <v>0</v>
      </c>
      <c r="N25" s="5">
        <v>0</v>
      </c>
      <c r="O25" s="5">
        <v>0</v>
      </c>
      <c r="P25" s="18" t="s">
        <v>71</v>
      </c>
      <c r="Q25" s="18" t="s">
        <v>71</v>
      </c>
      <c r="R25" s="18">
        <v>0</v>
      </c>
    </row>
    <row r="26" spans="1:29" x14ac:dyDescent="0.2">
      <c r="A26" s="29">
        <v>24</v>
      </c>
      <c r="B26" s="18">
        <v>1000000</v>
      </c>
      <c r="C26" s="18" t="s">
        <v>71</v>
      </c>
      <c r="D26" s="18">
        <v>26250</v>
      </c>
      <c r="E26" s="18">
        <v>87500</v>
      </c>
      <c r="F26" s="18">
        <v>50000</v>
      </c>
      <c r="G26" s="18">
        <v>160000</v>
      </c>
      <c r="H26" s="18">
        <v>88334</v>
      </c>
      <c r="I26" s="18"/>
      <c r="K26" s="29">
        <v>24</v>
      </c>
      <c r="L26" s="18">
        <v>1000000</v>
      </c>
      <c r="M26" s="18" t="s">
        <v>71</v>
      </c>
      <c r="N26" s="5" t="s">
        <v>71</v>
      </c>
      <c r="O26" s="5" t="s">
        <v>71</v>
      </c>
      <c r="P26" s="18" t="s">
        <v>71</v>
      </c>
      <c r="Q26" s="18" t="s">
        <v>71</v>
      </c>
      <c r="R26" s="18" t="s">
        <v>71</v>
      </c>
    </row>
    <row r="29" spans="1:29" x14ac:dyDescent="0.2">
      <c r="A29" s="39"/>
      <c r="B29" s="18"/>
      <c r="C29" s="18"/>
      <c r="D29" s="18">
        <v>1000000</v>
      </c>
      <c r="E29" s="18"/>
      <c r="F29" s="18"/>
      <c r="G29" s="18"/>
      <c r="H29" s="18"/>
      <c r="I29" s="18"/>
      <c r="J29" s="5"/>
      <c r="K29" s="39"/>
      <c r="L29" s="18"/>
      <c r="M29" s="18"/>
      <c r="N29" s="18"/>
      <c r="O29" s="18"/>
      <c r="P29" s="18"/>
      <c r="Q29" s="18"/>
      <c r="R29" s="18"/>
      <c r="S29" s="40"/>
    </row>
    <row r="30" spans="1:29" x14ac:dyDescent="0.2">
      <c r="A30" s="39"/>
      <c r="B30" s="18"/>
      <c r="C30" s="18"/>
      <c r="D30" s="18"/>
      <c r="E30" s="18"/>
      <c r="F30" s="18"/>
      <c r="G30" s="18"/>
      <c r="H30" s="18"/>
      <c r="I30" s="18"/>
      <c r="J30" s="5"/>
      <c r="K30" s="39"/>
      <c r="L30" s="18" t="s">
        <v>116</v>
      </c>
      <c r="M30" s="18" t="s">
        <v>117</v>
      </c>
      <c r="N30" s="18" t="s">
        <v>118</v>
      </c>
      <c r="O30" s="18" t="s">
        <v>119</v>
      </c>
      <c r="P30" s="18"/>
      <c r="Q30" s="18"/>
      <c r="R30" s="18"/>
      <c r="S30" s="40"/>
    </row>
    <row r="31" spans="1:29" x14ac:dyDescent="0.2">
      <c r="A31" s="39"/>
      <c r="B31" s="18"/>
      <c r="C31" s="18"/>
      <c r="D31" s="18">
        <v>43750</v>
      </c>
      <c r="E31" s="18"/>
      <c r="F31" s="18"/>
      <c r="G31" s="18"/>
      <c r="H31" s="18"/>
      <c r="I31" s="18"/>
      <c r="J31" s="5"/>
      <c r="K31" s="39" t="s">
        <v>113</v>
      </c>
      <c r="L31" s="18">
        <v>1</v>
      </c>
      <c r="M31" s="18">
        <v>7</v>
      </c>
      <c r="N31" s="18">
        <v>13</v>
      </c>
      <c r="O31" s="67">
        <v>19</v>
      </c>
      <c r="P31" s="18"/>
      <c r="Q31" s="18"/>
      <c r="R31" s="18"/>
      <c r="S31" s="40"/>
    </row>
    <row r="32" spans="1:29" x14ac:dyDescent="0.2">
      <c r="D32" s="18">
        <v>8750</v>
      </c>
      <c r="E32" s="18"/>
      <c r="G32" s="18"/>
      <c r="J32" s="5"/>
      <c r="K32" s="39" t="s">
        <v>73</v>
      </c>
      <c r="L32" s="18">
        <v>2</v>
      </c>
      <c r="M32" s="18">
        <v>8</v>
      </c>
      <c r="N32" s="18">
        <v>14</v>
      </c>
      <c r="O32" s="18">
        <v>20</v>
      </c>
      <c r="P32" s="18"/>
      <c r="Q32" s="18"/>
      <c r="R32" s="18"/>
      <c r="S32" s="40"/>
    </row>
    <row r="33" spans="4:19" x14ac:dyDescent="0.2">
      <c r="D33" s="18">
        <v>0</v>
      </c>
      <c r="E33" s="18"/>
      <c r="G33" s="18"/>
      <c r="J33" s="5"/>
      <c r="K33" s="39" t="s">
        <v>114</v>
      </c>
      <c r="L33" s="18">
        <v>3</v>
      </c>
      <c r="M33" s="18">
        <v>9</v>
      </c>
      <c r="N33" s="18">
        <v>15</v>
      </c>
      <c r="O33" s="18">
        <v>21</v>
      </c>
      <c r="P33" s="18"/>
      <c r="Q33" s="18"/>
      <c r="R33" s="18"/>
      <c r="S33" s="40"/>
    </row>
    <row r="34" spans="4:19" x14ac:dyDescent="0.2">
      <c r="D34" s="18">
        <v>0</v>
      </c>
      <c r="E34" s="18"/>
      <c r="G34" s="18"/>
      <c r="J34" s="5"/>
      <c r="K34" s="39" t="s">
        <v>85</v>
      </c>
      <c r="L34" s="67">
        <v>4</v>
      </c>
      <c r="M34" s="67">
        <v>10</v>
      </c>
      <c r="N34" s="18">
        <v>16</v>
      </c>
      <c r="O34" s="67">
        <v>22</v>
      </c>
      <c r="P34" s="18"/>
      <c r="Q34" s="18"/>
      <c r="R34" s="18"/>
      <c r="S34" s="40"/>
    </row>
    <row r="35" spans="4:19" x14ac:dyDescent="0.2">
      <c r="D35" s="18">
        <v>0</v>
      </c>
      <c r="E35" s="18"/>
      <c r="G35" s="18"/>
      <c r="J35" s="5"/>
      <c r="K35" s="39" t="s">
        <v>76</v>
      </c>
      <c r="L35" s="67">
        <v>5</v>
      </c>
      <c r="M35" s="67">
        <v>11</v>
      </c>
      <c r="N35" s="18">
        <v>17</v>
      </c>
      <c r="O35" s="67">
        <v>23</v>
      </c>
      <c r="P35" s="18"/>
      <c r="Q35" s="18"/>
      <c r="R35" s="18"/>
      <c r="S35" s="40"/>
    </row>
    <row r="36" spans="4:19" x14ac:dyDescent="0.2">
      <c r="J36" s="5"/>
      <c r="K36" s="29" t="s">
        <v>115</v>
      </c>
      <c r="L36" s="67">
        <v>6</v>
      </c>
      <c r="M36" s="67">
        <v>12</v>
      </c>
      <c r="N36" s="18">
        <v>18</v>
      </c>
      <c r="O36" s="67">
        <v>24</v>
      </c>
      <c r="P36" s="18"/>
      <c r="Q36" s="18"/>
      <c r="R36" s="18"/>
      <c r="S36" s="40"/>
    </row>
    <row r="37" spans="4:19" x14ac:dyDescent="0.2">
      <c r="L37" s="18"/>
      <c r="M37" s="18"/>
      <c r="N37" s="18"/>
      <c r="O37" s="18"/>
      <c r="P37" s="18"/>
      <c r="Q37" s="18"/>
      <c r="R37" s="18"/>
      <c r="S37" s="40"/>
    </row>
    <row r="38" spans="4:19" x14ac:dyDescent="0.2">
      <c r="L38" s="18"/>
      <c r="N38" s="18"/>
      <c r="O38" s="18"/>
      <c r="P38" s="18"/>
      <c r="Q38" s="18"/>
      <c r="R38" s="18"/>
      <c r="S38" s="40"/>
    </row>
    <row r="39" spans="4:19" x14ac:dyDescent="0.2">
      <c r="L39" s="18"/>
      <c r="N39" s="5"/>
      <c r="O39" s="18"/>
      <c r="P39" s="18"/>
      <c r="Q39" s="18"/>
      <c r="R39" s="18"/>
      <c r="S39" s="40"/>
    </row>
    <row r="40" spans="4:19" x14ac:dyDescent="0.2">
      <c r="L40" s="18"/>
      <c r="N40" s="5"/>
      <c r="O40" s="18"/>
      <c r="P40" s="18"/>
      <c r="Q40" s="18"/>
      <c r="R40" s="18"/>
      <c r="S40" s="40"/>
    </row>
    <row r="41" spans="4:19" x14ac:dyDescent="0.2">
      <c r="L41" s="18"/>
      <c r="M41" s="18"/>
      <c r="N41" s="18"/>
      <c r="O41" s="18"/>
      <c r="P41" s="18"/>
      <c r="Q41" s="18"/>
      <c r="R41" s="18"/>
      <c r="S41" s="40"/>
    </row>
    <row r="42" spans="4:19" x14ac:dyDescent="0.2">
      <c r="L42" s="18"/>
      <c r="M42" s="18"/>
      <c r="N42" s="18"/>
      <c r="O42" s="18"/>
      <c r="P42" s="18"/>
      <c r="Q42" s="18"/>
      <c r="R42" s="18"/>
      <c r="S42" s="40"/>
    </row>
    <row r="43" spans="4:19" x14ac:dyDescent="0.2">
      <c r="L43" s="18"/>
      <c r="M43" s="18"/>
      <c r="N43" s="18"/>
      <c r="O43" s="18"/>
      <c r="P43" s="18"/>
      <c r="Q43" s="18"/>
      <c r="R43" s="18"/>
      <c r="S43" s="40"/>
    </row>
    <row r="44" spans="4:19" x14ac:dyDescent="0.2">
      <c r="L44" s="18"/>
      <c r="M44" s="18"/>
      <c r="N44" s="18"/>
      <c r="O44" s="18"/>
      <c r="P44" s="18"/>
      <c r="Q44" s="18"/>
      <c r="R44" s="18"/>
      <c r="S44" s="40"/>
    </row>
    <row r="45" spans="4:19" x14ac:dyDescent="0.2">
      <c r="L45" s="18"/>
      <c r="M45" s="18"/>
      <c r="N45" s="18"/>
      <c r="O45" s="18"/>
      <c r="P45" s="18"/>
      <c r="Q45" s="18"/>
      <c r="R45" s="18"/>
      <c r="S45" s="40"/>
    </row>
    <row r="46" spans="4:19" x14ac:dyDescent="0.2">
      <c r="L46" s="18"/>
      <c r="M46" s="18"/>
      <c r="N46" s="18"/>
      <c r="O46" s="18"/>
      <c r="P46" s="18"/>
      <c r="Q46" s="18"/>
      <c r="R46" s="18"/>
      <c r="S46" s="40"/>
    </row>
    <row r="47" spans="4:19" x14ac:dyDescent="0.2">
      <c r="L47" s="18"/>
      <c r="M47" s="18"/>
      <c r="N47" s="5"/>
      <c r="O47" s="18"/>
      <c r="P47" s="18"/>
      <c r="Q47" s="18"/>
      <c r="R47" s="18"/>
    </row>
    <row r="48" spans="4:19" x14ac:dyDescent="0.2">
      <c r="L48" s="18"/>
      <c r="M48" s="18"/>
      <c r="N48" s="5"/>
      <c r="O48" s="18"/>
      <c r="P48" s="18"/>
      <c r="Q48" s="18"/>
      <c r="R48" s="18"/>
    </row>
    <row r="49" spans="12:18" x14ac:dyDescent="0.2">
      <c r="L49" s="18"/>
      <c r="M49" s="18"/>
      <c r="N49" s="5"/>
      <c r="O49" s="5"/>
      <c r="P49" s="18"/>
      <c r="Q49" s="18"/>
      <c r="R49" s="18"/>
    </row>
    <row r="50" spans="12:18" x14ac:dyDescent="0.2">
      <c r="L50" s="18"/>
      <c r="M50" s="18"/>
      <c r="N50" s="5"/>
      <c r="O50" s="5"/>
      <c r="P50" s="18"/>
      <c r="Q50" s="18"/>
      <c r="R50" s="18"/>
    </row>
    <row r="51" spans="12:18" x14ac:dyDescent="0.2">
      <c r="L51" s="18"/>
      <c r="M51" s="18"/>
      <c r="N51" s="5"/>
      <c r="O51" s="5"/>
      <c r="P51" s="18"/>
      <c r="Q51" s="18"/>
      <c r="R51" s="18"/>
    </row>
    <row r="52" spans="12:18" x14ac:dyDescent="0.2">
      <c r="L52" s="18"/>
      <c r="M52" s="18"/>
      <c r="N52" s="5"/>
      <c r="O52" s="5"/>
      <c r="P52" s="18"/>
      <c r="Q52" s="18"/>
      <c r="R52" s="18"/>
    </row>
  </sheetData>
  <mergeCells count="2">
    <mergeCell ref="A1:H1"/>
    <mergeCell ref="K1:R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9AD0-6F54-324A-92F8-94D43FD7F2C4}">
  <dimension ref="A1:I433"/>
  <sheetViews>
    <sheetView tabSelected="1" workbookViewId="0">
      <selection activeCell="L426" sqref="L426"/>
    </sheetView>
  </sheetViews>
  <sheetFormatPr baseColWidth="10" defaultRowHeight="16" x14ac:dyDescent="0.2"/>
  <cols>
    <col min="2" max="2" width="22.33203125" customWidth="1"/>
  </cols>
  <sheetData>
    <row r="1" spans="1:9" x14ac:dyDescent="0.2">
      <c r="A1" s="29" t="s">
        <v>58</v>
      </c>
      <c r="B1" s="29" t="s">
        <v>123</v>
      </c>
      <c r="C1" s="29" t="s">
        <v>126</v>
      </c>
      <c r="D1" s="29" t="s">
        <v>131</v>
      </c>
      <c r="E1" s="29" t="s">
        <v>129</v>
      </c>
      <c r="F1" s="29" t="s">
        <v>81</v>
      </c>
      <c r="G1" s="29" t="s">
        <v>130</v>
      </c>
      <c r="H1" s="29"/>
      <c r="I1" s="29"/>
    </row>
    <row r="2" spans="1:9" x14ac:dyDescent="0.2">
      <c r="A2" s="29">
        <v>1</v>
      </c>
      <c r="B2" t="s">
        <v>82</v>
      </c>
      <c r="C2">
        <v>1</v>
      </c>
      <c r="D2">
        <v>1</v>
      </c>
      <c r="E2">
        <v>1</v>
      </c>
      <c r="F2">
        <v>1</v>
      </c>
    </row>
    <row r="3" spans="1:9" x14ac:dyDescent="0.2">
      <c r="A3" s="29">
        <v>1</v>
      </c>
      <c r="B3" t="s">
        <v>82</v>
      </c>
      <c r="C3">
        <v>1</v>
      </c>
      <c r="D3">
        <v>1</v>
      </c>
      <c r="E3">
        <v>2</v>
      </c>
      <c r="F3">
        <v>1</v>
      </c>
    </row>
    <row r="4" spans="1:9" x14ac:dyDescent="0.2">
      <c r="A4" s="29">
        <v>1</v>
      </c>
      <c r="B4" t="s">
        <v>82</v>
      </c>
      <c r="C4">
        <v>1</v>
      </c>
      <c r="D4">
        <v>1</v>
      </c>
      <c r="E4">
        <v>3</v>
      </c>
      <c r="F4">
        <v>1</v>
      </c>
    </row>
    <row r="5" spans="1:9" x14ac:dyDescent="0.2">
      <c r="A5" s="29">
        <v>2</v>
      </c>
      <c r="B5" t="s">
        <v>83</v>
      </c>
      <c r="C5">
        <v>1</v>
      </c>
      <c r="D5">
        <v>1</v>
      </c>
      <c r="E5">
        <v>1</v>
      </c>
      <c r="F5">
        <v>1</v>
      </c>
    </row>
    <row r="6" spans="1:9" x14ac:dyDescent="0.2">
      <c r="A6" s="29">
        <v>2</v>
      </c>
      <c r="B6" t="s">
        <v>83</v>
      </c>
      <c r="C6">
        <v>1</v>
      </c>
      <c r="D6">
        <v>1</v>
      </c>
      <c r="E6">
        <v>2</v>
      </c>
      <c r="F6">
        <v>1</v>
      </c>
    </row>
    <row r="7" spans="1:9" x14ac:dyDescent="0.2">
      <c r="A7" s="29">
        <v>2</v>
      </c>
      <c r="B7" t="s">
        <v>83</v>
      </c>
      <c r="C7">
        <v>1</v>
      </c>
      <c r="D7">
        <v>1</v>
      </c>
      <c r="E7">
        <v>3</v>
      </c>
      <c r="F7">
        <v>1</v>
      </c>
    </row>
    <row r="8" spans="1:9" x14ac:dyDescent="0.2">
      <c r="A8" s="29">
        <v>3</v>
      </c>
      <c r="B8" t="s">
        <v>120</v>
      </c>
      <c r="C8">
        <v>1</v>
      </c>
      <c r="D8">
        <v>1</v>
      </c>
      <c r="E8">
        <v>1</v>
      </c>
      <c r="F8">
        <v>1</v>
      </c>
    </row>
    <row r="9" spans="1:9" x14ac:dyDescent="0.2">
      <c r="A9" s="29">
        <v>3</v>
      </c>
      <c r="B9" t="s">
        <v>120</v>
      </c>
      <c r="C9">
        <v>1</v>
      </c>
      <c r="D9">
        <v>1</v>
      </c>
      <c r="E9">
        <v>2</v>
      </c>
      <c r="F9">
        <v>1</v>
      </c>
    </row>
    <row r="10" spans="1:9" x14ac:dyDescent="0.2">
      <c r="A10" s="29">
        <v>3</v>
      </c>
      <c r="B10" t="s">
        <v>120</v>
      </c>
      <c r="C10">
        <v>1</v>
      </c>
      <c r="D10">
        <v>1</v>
      </c>
      <c r="E10">
        <v>3</v>
      </c>
      <c r="F10">
        <v>1</v>
      </c>
    </row>
    <row r="11" spans="1:9" x14ac:dyDescent="0.2">
      <c r="A11" s="29">
        <v>4</v>
      </c>
      <c r="B11" t="s">
        <v>85</v>
      </c>
      <c r="C11">
        <v>1</v>
      </c>
      <c r="D11">
        <v>1</v>
      </c>
      <c r="E11">
        <v>1</v>
      </c>
      <c r="F11">
        <v>1</v>
      </c>
    </row>
    <row r="12" spans="1:9" x14ac:dyDescent="0.2">
      <c r="A12" s="29">
        <v>4</v>
      </c>
      <c r="B12" t="s">
        <v>85</v>
      </c>
      <c r="C12">
        <v>1</v>
      </c>
      <c r="D12">
        <v>1</v>
      </c>
      <c r="E12">
        <v>2</v>
      </c>
      <c r="F12">
        <v>1</v>
      </c>
    </row>
    <row r="13" spans="1:9" x14ac:dyDescent="0.2">
      <c r="A13" s="29">
        <v>4</v>
      </c>
      <c r="B13" t="s">
        <v>85</v>
      </c>
      <c r="C13">
        <v>1</v>
      </c>
      <c r="D13">
        <v>1</v>
      </c>
      <c r="E13">
        <v>3</v>
      </c>
      <c r="F13">
        <v>1</v>
      </c>
    </row>
    <row r="14" spans="1:9" x14ac:dyDescent="0.2">
      <c r="A14" s="29">
        <v>5</v>
      </c>
      <c r="B14" t="s">
        <v>125</v>
      </c>
      <c r="C14">
        <v>1</v>
      </c>
      <c r="D14">
        <v>1</v>
      </c>
      <c r="E14">
        <v>1</v>
      </c>
      <c r="F14">
        <v>1</v>
      </c>
    </row>
    <row r="15" spans="1:9" x14ac:dyDescent="0.2">
      <c r="A15" s="29">
        <v>5</v>
      </c>
      <c r="B15" t="s">
        <v>125</v>
      </c>
      <c r="C15">
        <v>1</v>
      </c>
      <c r="D15">
        <v>1</v>
      </c>
      <c r="E15">
        <v>2</v>
      </c>
      <c r="F15">
        <v>1</v>
      </c>
    </row>
    <row r="16" spans="1:9" x14ac:dyDescent="0.2">
      <c r="A16" s="29">
        <v>5</v>
      </c>
      <c r="B16" t="s">
        <v>125</v>
      </c>
      <c r="C16">
        <v>1</v>
      </c>
      <c r="D16">
        <v>1</v>
      </c>
      <c r="E16">
        <v>3</v>
      </c>
      <c r="F16">
        <v>1</v>
      </c>
    </row>
    <row r="17" spans="1:6" x14ac:dyDescent="0.2">
      <c r="A17" s="29">
        <v>6</v>
      </c>
      <c r="B17" t="s">
        <v>124</v>
      </c>
      <c r="C17">
        <v>1</v>
      </c>
      <c r="D17">
        <v>1</v>
      </c>
      <c r="E17">
        <v>1</v>
      </c>
      <c r="F17">
        <v>1</v>
      </c>
    </row>
    <row r="18" spans="1:6" x14ac:dyDescent="0.2">
      <c r="A18" s="29">
        <v>6</v>
      </c>
      <c r="B18" t="s">
        <v>124</v>
      </c>
      <c r="C18">
        <v>1</v>
      </c>
      <c r="D18">
        <v>1</v>
      </c>
      <c r="E18">
        <v>2</v>
      </c>
      <c r="F18">
        <v>1</v>
      </c>
    </row>
    <row r="19" spans="1:6" x14ac:dyDescent="0.2">
      <c r="A19" s="29">
        <v>6</v>
      </c>
      <c r="B19" t="s">
        <v>124</v>
      </c>
      <c r="C19">
        <v>1</v>
      </c>
      <c r="D19">
        <v>1</v>
      </c>
      <c r="E19">
        <v>3</v>
      </c>
      <c r="F19">
        <v>1</v>
      </c>
    </row>
    <row r="20" spans="1:6" x14ac:dyDescent="0.2">
      <c r="A20" s="29">
        <v>7</v>
      </c>
      <c r="B20" t="s">
        <v>82</v>
      </c>
      <c r="C20">
        <v>2</v>
      </c>
      <c r="D20">
        <v>1</v>
      </c>
      <c r="E20">
        <v>1</v>
      </c>
      <c r="F20">
        <v>1</v>
      </c>
    </row>
    <row r="21" spans="1:6" x14ac:dyDescent="0.2">
      <c r="A21" s="29">
        <v>7</v>
      </c>
      <c r="B21" t="s">
        <v>82</v>
      </c>
      <c r="C21">
        <v>2</v>
      </c>
      <c r="D21">
        <v>1</v>
      </c>
      <c r="E21">
        <v>2</v>
      </c>
      <c r="F21">
        <v>1</v>
      </c>
    </row>
    <row r="22" spans="1:6" x14ac:dyDescent="0.2">
      <c r="A22" s="29">
        <v>7</v>
      </c>
      <c r="B22" t="s">
        <v>82</v>
      </c>
      <c r="C22">
        <v>2</v>
      </c>
      <c r="D22">
        <v>1</v>
      </c>
      <c r="E22">
        <v>3</v>
      </c>
      <c r="F22">
        <v>1</v>
      </c>
    </row>
    <row r="23" spans="1:6" x14ac:dyDescent="0.2">
      <c r="A23" s="29">
        <v>8</v>
      </c>
      <c r="B23" t="s">
        <v>83</v>
      </c>
      <c r="C23">
        <v>2</v>
      </c>
      <c r="D23">
        <v>1</v>
      </c>
      <c r="E23">
        <v>1</v>
      </c>
      <c r="F23">
        <v>1</v>
      </c>
    </row>
    <row r="24" spans="1:6" x14ac:dyDescent="0.2">
      <c r="A24" s="29">
        <v>8</v>
      </c>
      <c r="B24" t="s">
        <v>83</v>
      </c>
      <c r="C24">
        <v>2</v>
      </c>
      <c r="D24">
        <v>1</v>
      </c>
      <c r="E24">
        <v>2</v>
      </c>
      <c r="F24">
        <v>1</v>
      </c>
    </row>
    <row r="25" spans="1:6" x14ac:dyDescent="0.2">
      <c r="A25" s="29">
        <v>8</v>
      </c>
      <c r="B25" t="s">
        <v>83</v>
      </c>
      <c r="C25">
        <v>2</v>
      </c>
      <c r="D25">
        <v>1</v>
      </c>
      <c r="E25">
        <v>3</v>
      </c>
      <c r="F25">
        <v>1</v>
      </c>
    </row>
    <row r="26" spans="1:6" x14ac:dyDescent="0.2">
      <c r="A26" s="29">
        <v>9</v>
      </c>
      <c r="B26" t="s">
        <v>120</v>
      </c>
      <c r="C26">
        <v>2</v>
      </c>
      <c r="D26">
        <v>1</v>
      </c>
      <c r="E26">
        <v>1</v>
      </c>
      <c r="F26">
        <v>1</v>
      </c>
    </row>
    <row r="27" spans="1:6" x14ac:dyDescent="0.2">
      <c r="A27" s="29">
        <v>9</v>
      </c>
      <c r="B27" t="s">
        <v>120</v>
      </c>
      <c r="C27">
        <v>2</v>
      </c>
      <c r="D27">
        <v>1</v>
      </c>
      <c r="E27">
        <v>2</v>
      </c>
      <c r="F27">
        <v>1</v>
      </c>
    </row>
    <row r="28" spans="1:6" x14ac:dyDescent="0.2">
      <c r="A28" s="29">
        <v>9</v>
      </c>
      <c r="B28" t="s">
        <v>120</v>
      </c>
      <c r="C28">
        <v>2</v>
      </c>
      <c r="D28">
        <v>1</v>
      </c>
      <c r="E28">
        <v>3</v>
      </c>
      <c r="F28">
        <v>1</v>
      </c>
    </row>
    <row r="29" spans="1:6" x14ac:dyDescent="0.2">
      <c r="A29" s="29">
        <v>10</v>
      </c>
      <c r="B29" t="s">
        <v>85</v>
      </c>
      <c r="C29">
        <v>2</v>
      </c>
      <c r="D29">
        <v>1</v>
      </c>
      <c r="E29">
        <v>1</v>
      </c>
      <c r="F29">
        <v>1</v>
      </c>
    </row>
    <row r="30" spans="1:6" x14ac:dyDescent="0.2">
      <c r="A30" s="29">
        <v>10</v>
      </c>
      <c r="B30" t="s">
        <v>85</v>
      </c>
      <c r="C30">
        <v>2</v>
      </c>
      <c r="D30">
        <v>1</v>
      </c>
      <c r="E30">
        <v>2</v>
      </c>
      <c r="F30">
        <v>1</v>
      </c>
    </row>
    <row r="31" spans="1:6" x14ac:dyDescent="0.2">
      <c r="A31" s="29">
        <v>10</v>
      </c>
      <c r="B31" t="s">
        <v>85</v>
      </c>
      <c r="C31">
        <v>2</v>
      </c>
      <c r="D31">
        <v>1</v>
      </c>
      <c r="E31">
        <v>3</v>
      </c>
      <c r="F31">
        <v>1</v>
      </c>
    </row>
    <row r="32" spans="1:6" x14ac:dyDescent="0.2">
      <c r="A32" s="29">
        <v>11</v>
      </c>
      <c r="B32" t="s">
        <v>125</v>
      </c>
      <c r="C32">
        <v>2</v>
      </c>
      <c r="D32">
        <v>1</v>
      </c>
      <c r="E32">
        <v>1</v>
      </c>
      <c r="F32">
        <v>1</v>
      </c>
    </row>
    <row r="33" spans="1:6" x14ac:dyDescent="0.2">
      <c r="A33" s="29">
        <v>11</v>
      </c>
      <c r="B33" t="s">
        <v>125</v>
      </c>
      <c r="C33">
        <v>2</v>
      </c>
      <c r="D33">
        <v>1</v>
      </c>
      <c r="E33">
        <v>2</v>
      </c>
      <c r="F33">
        <v>1</v>
      </c>
    </row>
    <row r="34" spans="1:6" x14ac:dyDescent="0.2">
      <c r="A34" s="29">
        <v>11</v>
      </c>
      <c r="B34" t="s">
        <v>125</v>
      </c>
      <c r="C34">
        <v>2</v>
      </c>
      <c r="D34">
        <v>1</v>
      </c>
      <c r="E34">
        <v>3</v>
      </c>
      <c r="F34">
        <v>1</v>
      </c>
    </row>
    <row r="35" spans="1:6" x14ac:dyDescent="0.2">
      <c r="A35" s="29">
        <v>12</v>
      </c>
      <c r="B35" t="s">
        <v>124</v>
      </c>
      <c r="C35">
        <v>2</v>
      </c>
      <c r="D35">
        <v>1</v>
      </c>
      <c r="E35">
        <v>1</v>
      </c>
      <c r="F35">
        <v>1</v>
      </c>
    </row>
    <row r="36" spans="1:6" x14ac:dyDescent="0.2">
      <c r="A36" s="29">
        <v>12</v>
      </c>
      <c r="B36" t="s">
        <v>124</v>
      </c>
      <c r="C36">
        <v>2</v>
      </c>
      <c r="D36">
        <v>1</v>
      </c>
      <c r="E36">
        <v>2</v>
      </c>
      <c r="F36">
        <v>1</v>
      </c>
    </row>
    <row r="37" spans="1:6" x14ac:dyDescent="0.2">
      <c r="A37" s="29">
        <v>12</v>
      </c>
      <c r="B37" t="s">
        <v>124</v>
      </c>
      <c r="C37">
        <v>2</v>
      </c>
      <c r="D37">
        <v>1</v>
      </c>
      <c r="E37">
        <v>3</v>
      </c>
      <c r="F37">
        <v>1</v>
      </c>
    </row>
    <row r="38" spans="1:6" x14ac:dyDescent="0.2">
      <c r="A38" s="29">
        <v>13</v>
      </c>
      <c r="B38" t="s">
        <v>82</v>
      </c>
      <c r="C38">
        <v>3</v>
      </c>
      <c r="D38">
        <v>1</v>
      </c>
      <c r="E38">
        <v>1</v>
      </c>
      <c r="F38">
        <v>1</v>
      </c>
    </row>
    <row r="39" spans="1:6" x14ac:dyDescent="0.2">
      <c r="A39" s="29">
        <v>13</v>
      </c>
      <c r="B39" t="s">
        <v>82</v>
      </c>
      <c r="C39">
        <v>3</v>
      </c>
      <c r="D39">
        <v>1</v>
      </c>
      <c r="E39">
        <v>2</v>
      </c>
      <c r="F39">
        <v>1</v>
      </c>
    </row>
    <row r="40" spans="1:6" x14ac:dyDescent="0.2">
      <c r="A40" s="29">
        <v>13</v>
      </c>
      <c r="B40" t="s">
        <v>82</v>
      </c>
      <c r="C40">
        <v>3</v>
      </c>
      <c r="D40">
        <v>1</v>
      </c>
      <c r="E40">
        <v>3</v>
      </c>
      <c r="F40">
        <v>1</v>
      </c>
    </row>
    <row r="41" spans="1:6" x14ac:dyDescent="0.2">
      <c r="A41" s="29">
        <v>14</v>
      </c>
      <c r="B41" t="s">
        <v>83</v>
      </c>
      <c r="C41">
        <v>3</v>
      </c>
      <c r="D41">
        <v>1</v>
      </c>
      <c r="E41">
        <v>1</v>
      </c>
      <c r="F41">
        <v>1</v>
      </c>
    </row>
    <row r="42" spans="1:6" x14ac:dyDescent="0.2">
      <c r="A42" s="29">
        <v>14</v>
      </c>
      <c r="B42" t="s">
        <v>83</v>
      </c>
      <c r="C42">
        <v>3</v>
      </c>
      <c r="D42">
        <v>1</v>
      </c>
      <c r="E42">
        <v>2</v>
      </c>
      <c r="F42">
        <v>1</v>
      </c>
    </row>
    <row r="43" spans="1:6" x14ac:dyDescent="0.2">
      <c r="A43" s="29">
        <v>14</v>
      </c>
      <c r="B43" t="s">
        <v>83</v>
      </c>
      <c r="C43">
        <v>3</v>
      </c>
      <c r="D43">
        <v>1</v>
      </c>
      <c r="E43">
        <v>3</v>
      </c>
      <c r="F43">
        <v>1</v>
      </c>
    </row>
    <row r="44" spans="1:6" x14ac:dyDescent="0.2">
      <c r="A44" s="29">
        <v>15</v>
      </c>
      <c r="B44" t="s">
        <v>120</v>
      </c>
      <c r="C44">
        <v>3</v>
      </c>
      <c r="D44">
        <v>1</v>
      </c>
      <c r="E44">
        <v>1</v>
      </c>
      <c r="F44">
        <v>1</v>
      </c>
    </row>
    <row r="45" spans="1:6" x14ac:dyDescent="0.2">
      <c r="A45" s="29">
        <v>15</v>
      </c>
      <c r="B45" t="s">
        <v>120</v>
      </c>
      <c r="C45">
        <v>3</v>
      </c>
      <c r="D45">
        <v>1</v>
      </c>
      <c r="E45">
        <v>2</v>
      </c>
      <c r="F45">
        <v>1</v>
      </c>
    </row>
    <row r="46" spans="1:6" x14ac:dyDescent="0.2">
      <c r="A46" s="29">
        <v>15</v>
      </c>
      <c r="B46" t="s">
        <v>120</v>
      </c>
      <c r="C46">
        <v>3</v>
      </c>
      <c r="D46">
        <v>1</v>
      </c>
      <c r="E46">
        <v>3</v>
      </c>
      <c r="F46">
        <v>1</v>
      </c>
    </row>
    <row r="47" spans="1:6" x14ac:dyDescent="0.2">
      <c r="A47" s="29">
        <v>16</v>
      </c>
      <c r="B47" t="s">
        <v>85</v>
      </c>
      <c r="C47">
        <v>3</v>
      </c>
      <c r="D47">
        <v>1</v>
      </c>
      <c r="E47">
        <v>1</v>
      </c>
      <c r="F47">
        <v>1</v>
      </c>
    </row>
    <row r="48" spans="1:6" x14ac:dyDescent="0.2">
      <c r="A48" s="29">
        <v>16</v>
      </c>
      <c r="B48" t="s">
        <v>85</v>
      </c>
      <c r="C48">
        <v>3</v>
      </c>
      <c r="D48">
        <v>1</v>
      </c>
      <c r="E48">
        <v>2</v>
      </c>
      <c r="F48">
        <v>1</v>
      </c>
    </row>
    <row r="49" spans="1:6" x14ac:dyDescent="0.2">
      <c r="A49" s="29">
        <v>16</v>
      </c>
      <c r="B49" t="s">
        <v>85</v>
      </c>
      <c r="C49">
        <v>3</v>
      </c>
      <c r="D49">
        <v>1</v>
      </c>
      <c r="E49">
        <v>3</v>
      </c>
      <c r="F49">
        <v>1</v>
      </c>
    </row>
    <row r="50" spans="1:6" x14ac:dyDescent="0.2">
      <c r="A50" s="29">
        <v>17</v>
      </c>
      <c r="B50" t="s">
        <v>125</v>
      </c>
      <c r="C50">
        <v>3</v>
      </c>
      <c r="D50">
        <v>1</v>
      </c>
      <c r="E50">
        <v>1</v>
      </c>
      <c r="F50">
        <v>1</v>
      </c>
    </row>
    <row r="51" spans="1:6" x14ac:dyDescent="0.2">
      <c r="A51" s="29">
        <v>17</v>
      </c>
      <c r="B51" t="s">
        <v>125</v>
      </c>
      <c r="C51">
        <v>3</v>
      </c>
      <c r="D51">
        <v>1</v>
      </c>
      <c r="E51">
        <v>2</v>
      </c>
      <c r="F51">
        <v>1</v>
      </c>
    </row>
    <row r="52" spans="1:6" x14ac:dyDescent="0.2">
      <c r="A52" s="29">
        <v>17</v>
      </c>
      <c r="B52" t="s">
        <v>125</v>
      </c>
      <c r="C52">
        <v>3</v>
      </c>
      <c r="D52">
        <v>1</v>
      </c>
      <c r="E52">
        <v>3</v>
      </c>
      <c r="F52">
        <v>1</v>
      </c>
    </row>
    <row r="53" spans="1:6" x14ac:dyDescent="0.2">
      <c r="A53" s="29">
        <v>18</v>
      </c>
      <c r="B53" t="s">
        <v>124</v>
      </c>
      <c r="C53">
        <v>3</v>
      </c>
      <c r="D53">
        <v>1</v>
      </c>
      <c r="E53">
        <v>1</v>
      </c>
      <c r="F53">
        <v>1</v>
      </c>
    </row>
    <row r="54" spans="1:6" x14ac:dyDescent="0.2">
      <c r="A54" s="29">
        <v>18</v>
      </c>
      <c r="B54" t="s">
        <v>124</v>
      </c>
      <c r="C54">
        <v>3</v>
      </c>
      <c r="D54">
        <v>1</v>
      </c>
      <c r="E54">
        <v>2</v>
      </c>
      <c r="F54">
        <v>1</v>
      </c>
    </row>
    <row r="55" spans="1:6" x14ac:dyDescent="0.2">
      <c r="A55" s="29">
        <v>18</v>
      </c>
      <c r="B55" t="s">
        <v>124</v>
      </c>
      <c r="C55">
        <v>3</v>
      </c>
      <c r="D55">
        <v>1</v>
      </c>
      <c r="E55">
        <v>3</v>
      </c>
      <c r="F55">
        <v>1</v>
      </c>
    </row>
    <row r="56" spans="1:6" x14ac:dyDescent="0.2">
      <c r="A56" s="29">
        <v>19</v>
      </c>
      <c r="B56" t="s">
        <v>82</v>
      </c>
      <c r="C56">
        <v>4</v>
      </c>
      <c r="D56">
        <v>1</v>
      </c>
      <c r="E56">
        <v>1</v>
      </c>
      <c r="F56">
        <v>1</v>
      </c>
    </row>
    <row r="57" spans="1:6" x14ac:dyDescent="0.2">
      <c r="A57" s="29">
        <v>19</v>
      </c>
      <c r="B57" t="s">
        <v>82</v>
      </c>
      <c r="C57">
        <v>4</v>
      </c>
      <c r="D57">
        <v>1</v>
      </c>
      <c r="E57">
        <v>2</v>
      </c>
      <c r="F57">
        <v>1</v>
      </c>
    </row>
    <row r="58" spans="1:6" x14ac:dyDescent="0.2">
      <c r="A58" s="29">
        <v>19</v>
      </c>
      <c r="B58" t="s">
        <v>82</v>
      </c>
      <c r="C58">
        <v>4</v>
      </c>
      <c r="D58">
        <v>1</v>
      </c>
      <c r="E58">
        <v>3</v>
      </c>
      <c r="F58">
        <v>1</v>
      </c>
    </row>
    <row r="59" spans="1:6" x14ac:dyDescent="0.2">
      <c r="A59" s="29">
        <v>20</v>
      </c>
      <c r="B59" t="s">
        <v>83</v>
      </c>
      <c r="C59">
        <v>4</v>
      </c>
      <c r="D59">
        <v>1</v>
      </c>
      <c r="E59">
        <v>1</v>
      </c>
      <c r="F59">
        <v>1</v>
      </c>
    </row>
    <row r="60" spans="1:6" x14ac:dyDescent="0.2">
      <c r="A60" s="29">
        <v>20</v>
      </c>
      <c r="B60" t="s">
        <v>83</v>
      </c>
      <c r="C60">
        <v>4</v>
      </c>
      <c r="D60">
        <v>1</v>
      </c>
      <c r="E60">
        <v>2</v>
      </c>
      <c r="F60">
        <v>1</v>
      </c>
    </row>
    <row r="61" spans="1:6" x14ac:dyDescent="0.2">
      <c r="A61" s="29">
        <v>20</v>
      </c>
      <c r="B61" t="s">
        <v>83</v>
      </c>
      <c r="C61">
        <v>4</v>
      </c>
      <c r="D61">
        <v>1</v>
      </c>
      <c r="E61">
        <v>3</v>
      </c>
      <c r="F61">
        <v>1</v>
      </c>
    </row>
    <row r="62" spans="1:6" x14ac:dyDescent="0.2">
      <c r="A62" s="29">
        <v>21</v>
      </c>
      <c r="B62" t="s">
        <v>120</v>
      </c>
      <c r="C62">
        <v>4</v>
      </c>
      <c r="D62">
        <v>1</v>
      </c>
      <c r="E62">
        <v>1</v>
      </c>
      <c r="F62">
        <v>1</v>
      </c>
    </row>
    <row r="63" spans="1:6" x14ac:dyDescent="0.2">
      <c r="A63" s="29">
        <v>21</v>
      </c>
      <c r="B63" t="s">
        <v>120</v>
      </c>
      <c r="C63">
        <v>4</v>
      </c>
      <c r="D63">
        <v>1</v>
      </c>
      <c r="E63">
        <v>2</v>
      </c>
      <c r="F63">
        <v>1</v>
      </c>
    </row>
    <row r="64" spans="1:6" x14ac:dyDescent="0.2">
      <c r="A64" s="29">
        <v>21</v>
      </c>
      <c r="B64" t="s">
        <v>120</v>
      </c>
      <c r="C64">
        <v>4</v>
      </c>
      <c r="D64">
        <v>1</v>
      </c>
      <c r="E64">
        <v>3</v>
      </c>
      <c r="F64">
        <v>1</v>
      </c>
    </row>
    <row r="65" spans="1:7" x14ac:dyDescent="0.2">
      <c r="A65" s="29">
        <v>22</v>
      </c>
      <c r="B65" t="s">
        <v>85</v>
      </c>
      <c r="C65">
        <v>4</v>
      </c>
      <c r="D65">
        <v>1</v>
      </c>
      <c r="E65">
        <v>1</v>
      </c>
      <c r="F65">
        <v>1</v>
      </c>
    </row>
    <row r="66" spans="1:7" x14ac:dyDescent="0.2">
      <c r="A66" s="29">
        <v>22</v>
      </c>
      <c r="B66" t="s">
        <v>85</v>
      </c>
      <c r="C66">
        <v>4</v>
      </c>
      <c r="D66">
        <v>1</v>
      </c>
      <c r="E66">
        <v>2</v>
      </c>
      <c r="F66">
        <v>1</v>
      </c>
    </row>
    <row r="67" spans="1:7" x14ac:dyDescent="0.2">
      <c r="A67" s="29">
        <v>22</v>
      </c>
      <c r="B67" t="s">
        <v>85</v>
      </c>
      <c r="C67">
        <v>4</v>
      </c>
      <c r="D67">
        <v>1</v>
      </c>
      <c r="E67">
        <v>3</v>
      </c>
      <c r="F67">
        <v>1</v>
      </c>
    </row>
    <row r="68" spans="1:7" x14ac:dyDescent="0.2">
      <c r="A68" s="29">
        <v>23</v>
      </c>
      <c r="B68" t="s">
        <v>125</v>
      </c>
      <c r="C68">
        <v>4</v>
      </c>
      <c r="D68">
        <v>1</v>
      </c>
      <c r="E68">
        <v>1</v>
      </c>
      <c r="F68">
        <v>1</v>
      </c>
    </row>
    <row r="69" spans="1:7" x14ac:dyDescent="0.2">
      <c r="A69" s="29">
        <v>23</v>
      </c>
      <c r="B69" t="s">
        <v>125</v>
      </c>
      <c r="C69">
        <v>4</v>
      </c>
      <c r="D69">
        <v>1</v>
      </c>
      <c r="E69">
        <v>2</v>
      </c>
      <c r="F69">
        <v>1</v>
      </c>
    </row>
    <row r="70" spans="1:7" x14ac:dyDescent="0.2">
      <c r="A70" s="29">
        <v>23</v>
      </c>
      <c r="B70" t="s">
        <v>125</v>
      </c>
      <c r="C70">
        <v>4</v>
      </c>
      <c r="D70">
        <v>1</v>
      </c>
      <c r="E70">
        <v>3</v>
      </c>
      <c r="F70">
        <v>1</v>
      </c>
    </row>
    <row r="71" spans="1:7" x14ac:dyDescent="0.2">
      <c r="A71" s="29">
        <v>24</v>
      </c>
      <c r="B71" t="s">
        <v>124</v>
      </c>
      <c r="C71">
        <v>4</v>
      </c>
      <c r="D71">
        <v>1</v>
      </c>
      <c r="E71">
        <v>1</v>
      </c>
      <c r="F71">
        <v>1</v>
      </c>
    </row>
    <row r="72" spans="1:7" x14ac:dyDescent="0.2">
      <c r="A72" s="29">
        <v>24</v>
      </c>
      <c r="B72" t="s">
        <v>124</v>
      </c>
      <c r="C72">
        <v>4</v>
      </c>
      <c r="D72">
        <v>1</v>
      </c>
      <c r="E72">
        <v>2</v>
      </c>
      <c r="F72">
        <v>1</v>
      </c>
    </row>
    <row r="73" spans="1:7" x14ac:dyDescent="0.2">
      <c r="A73" s="29">
        <v>24</v>
      </c>
      <c r="B73" t="s">
        <v>124</v>
      </c>
      <c r="C73">
        <v>4</v>
      </c>
      <c r="D73">
        <v>1</v>
      </c>
      <c r="E73">
        <v>3</v>
      </c>
      <c r="F73">
        <v>1</v>
      </c>
    </row>
    <row r="74" spans="1:7" x14ac:dyDescent="0.2">
      <c r="A74" s="29">
        <v>1</v>
      </c>
      <c r="B74" t="s">
        <v>82</v>
      </c>
      <c r="C74">
        <v>1</v>
      </c>
      <c r="D74">
        <v>2</v>
      </c>
      <c r="E74">
        <v>1</v>
      </c>
      <c r="F74">
        <v>3</v>
      </c>
      <c r="G74">
        <v>90</v>
      </c>
    </row>
    <row r="75" spans="1:7" x14ac:dyDescent="0.2">
      <c r="A75" s="29">
        <v>1</v>
      </c>
      <c r="B75" t="s">
        <v>82</v>
      </c>
      <c r="C75">
        <v>1</v>
      </c>
      <c r="D75">
        <v>2</v>
      </c>
      <c r="E75">
        <v>2</v>
      </c>
      <c r="F75">
        <v>3</v>
      </c>
      <c r="G75">
        <v>80</v>
      </c>
    </row>
    <row r="76" spans="1:7" x14ac:dyDescent="0.2">
      <c r="A76" s="29">
        <v>1</v>
      </c>
      <c r="B76" t="s">
        <v>82</v>
      </c>
      <c r="C76">
        <v>1</v>
      </c>
      <c r="D76">
        <v>2</v>
      </c>
      <c r="E76">
        <v>3</v>
      </c>
      <c r="F76">
        <v>3</v>
      </c>
      <c r="G76">
        <v>85</v>
      </c>
    </row>
    <row r="77" spans="1:7" x14ac:dyDescent="0.2">
      <c r="A77" s="29">
        <v>2</v>
      </c>
      <c r="B77" t="s">
        <v>83</v>
      </c>
      <c r="C77">
        <v>1</v>
      </c>
      <c r="D77">
        <v>2</v>
      </c>
      <c r="E77">
        <v>1</v>
      </c>
      <c r="F77">
        <v>3</v>
      </c>
      <c r="G77">
        <v>90</v>
      </c>
    </row>
    <row r="78" spans="1:7" x14ac:dyDescent="0.2">
      <c r="A78" s="29">
        <v>2</v>
      </c>
      <c r="B78" t="s">
        <v>83</v>
      </c>
      <c r="C78">
        <v>1</v>
      </c>
      <c r="D78">
        <v>2</v>
      </c>
      <c r="E78">
        <v>2</v>
      </c>
      <c r="F78">
        <v>3</v>
      </c>
      <c r="G78">
        <v>85</v>
      </c>
    </row>
    <row r="79" spans="1:7" x14ac:dyDescent="0.2">
      <c r="A79" s="29">
        <v>2</v>
      </c>
      <c r="B79" t="s">
        <v>83</v>
      </c>
      <c r="C79">
        <v>1</v>
      </c>
      <c r="D79">
        <v>2</v>
      </c>
      <c r="E79">
        <v>3</v>
      </c>
      <c r="F79">
        <v>3</v>
      </c>
      <c r="G79">
        <v>85</v>
      </c>
    </row>
    <row r="80" spans="1:7" x14ac:dyDescent="0.2">
      <c r="A80" s="29">
        <v>3</v>
      </c>
      <c r="B80" t="s">
        <v>120</v>
      </c>
      <c r="C80">
        <v>1</v>
      </c>
      <c r="D80">
        <v>2</v>
      </c>
      <c r="E80">
        <v>1</v>
      </c>
      <c r="F80">
        <v>3</v>
      </c>
      <c r="G80">
        <v>80</v>
      </c>
    </row>
    <row r="81" spans="1:7" x14ac:dyDescent="0.2">
      <c r="A81" s="29">
        <v>3</v>
      </c>
      <c r="B81" t="s">
        <v>120</v>
      </c>
      <c r="C81">
        <v>1</v>
      </c>
      <c r="D81">
        <v>2</v>
      </c>
      <c r="E81">
        <v>2</v>
      </c>
      <c r="F81">
        <v>3</v>
      </c>
      <c r="G81">
        <v>80</v>
      </c>
    </row>
    <row r="82" spans="1:7" x14ac:dyDescent="0.2">
      <c r="A82" s="29">
        <v>3</v>
      </c>
      <c r="B82" t="s">
        <v>120</v>
      </c>
      <c r="C82">
        <v>1</v>
      </c>
      <c r="D82">
        <v>2</v>
      </c>
      <c r="E82">
        <v>3</v>
      </c>
      <c r="F82">
        <v>3</v>
      </c>
      <c r="G82">
        <v>90</v>
      </c>
    </row>
    <row r="83" spans="1:7" x14ac:dyDescent="0.2">
      <c r="A83" s="29">
        <v>4</v>
      </c>
      <c r="B83" t="s">
        <v>85</v>
      </c>
      <c r="C83">
        <v>1</v>
      </c>
      <c r="D83">
        <v>2</v>
      </c>
      <c r="E83">
        <v>1</v>
      </c>
      <c r="F83">
        <v>3</v>
      </c>
      <c r="G83">
        <v>70</v>
      </c>
    </row>
    <row r="84" spans="1:7" x14ac:dyDescent="0.2">
      <c r="A84" s="29">
        <v>4</v>
      </c>
      <c r="B84" t="s">
        <v>85</v>
      </c>
      <c r="C84">
        <v>1</v>
      </c>
      <c r="D84">
        <v>2</v>
      </c>
      <c r="E84">
        <v>2</v>
      </c>
      <c r="F84">
        <v>3</v>
      </c>
      <c r="G84">
        <v>50</v>
      </c>
    </row>
    <row r="85" spans="1:7" x14ac:dyDescent="0.2">
      <c r="A85" s="29">
        <v>4</v>
      </c>
      <c r="B85" t="s">
        <v>85</v>
      </c>
      <c r="C85">
        <v>1</v>
      </c>
      <c r="D85">
        <v>2</v>
      </c>
      <c r="E85">
        <v>3</v>
      </c>
      <c r="F85">
        <v>3</v>
      </c>
      <c r="G85">
        <v>95</v>
      </c>
    </row>
    <row r="86" spans="1:7" x14ac:dyDescent="0.2">
      <c r="A86" s="29">
        <v>5</v>
      </c>
      <c r="B86" t="s">
        <v>125</v>
      </c>
      <c r="C86">
        <v>1</v>
      </c>
      <c r="D86">
        <v>2</v>
      </c>
      <c r="E86">
        <v>1</v>
      </c>
      <c r="F86">
        <v>3</v>
      </c>
      <c r="G86">
        <v>95</v>
      </c>
    </row>
    <row r="87" spans="1:7" x14ac:dyDescent="0.2">
      <c r="A87" s="29">
        <v>5</v>
      </c>
      <c r="B87" t="s">
        <v>125</v>
      </c>
      <c r="C87">
        <v>1</v>
      </c>
      <c r="D87">
        <v>2</v>
      </c>
      <c r="E87">
        <v>2</v>
      </c>
      <c r="F87">
        <v>3</v>
      </c>
      <c r="G87">
        <v>95</v>
      </c>
    </row>
    <row r="88" spans="1:7" x14ac:dyDescent="0.2">
      <c r="A88" s="29">
        <v>5</v>
      </c>
      <c r="B88" t="s">
        <v>125</v>
      </c>
      <c r="C88">
        <v>1</v>
      </c>
      <c r="D88">
        <v>2</v>
      </c>
      <c r="E88">
        <v>3</v>
      </c>
      <c r="F88">
        <v>3</v>
      </c>
      <c r="G88">
        <v>90</v>
      </c>
    </row>
    <row r="89" spans="1:7" x14ac:dyDescent="0.2">
      <c r="A89" s="29">
        <v>6</v>
      </c>
      <c r="B89" t="s">
        <v>124</v>
      </c>
      <c r="C89">
        <v>1</v>
      </c>
      <c r="D89">
        <v>2</v>
      </c>
      <c r="E89">
        <v>1</v>
      </c>
      <c r="F89">
        <v>3</v>
      </c>
      <c r="G89">
        <v>90</v>
      </c>
    </row>
    <row r="90" spans="1:7" x14ac:dyDescent="0.2">
      <c r="A90" s="29">
        <v>6</v>
      </c>
      <c r="B90" t="s">
        <v>124</v>
      </c>
      <c r="C90">
        <v>1</v>
      </c>
      <c r="D90">
        <v>2</v>
      </c>
      <c r="E90">
        <v>2</v>
      </c>
      <c r="F90">
        <v>3</v>
      </c>
      <c r="G90">
        <v>90</v>
      </c>
    </row>
    <row r="91" spans="1:7" x14ac:dyDescent="0.2">
      <c r="A91" s="29">
        <v>6</v>
      </c>
      <c r="B91" t="s">
        <v>124</v>
      </c>
      <c r="C91">
        <v>1</v>
      </c>
      <c r="D91">
        <v>2</v>
      </c>
      <c r="E91">
        <v>3</v>
      </c>
      <c r="F91">
        <v>3</v>
      </c>
      <c r="G91">
        <v>90</v>
      </c>
    </row>
    <row r="92" spans="1:7" x14ac:dyDescent="0.2">
      <c r="A92" s="29">
        <v>7</v>
      </c>
      <c r="B92" t="s">
        <v>82</v>
      </c>
      <c r="C92">
        <v>2</v>
      </c>
      <c r="D92">
        <v>2</v>
      </c>
      <c r="E92">
        <v>1</v>
      </c>
      <c r="F92">
        <v>3</v>
      </c>
      <c r="G92">
        <v>85</v>
      </c>
    </row>
    <row r="93" spans="1:7" x14ac:dyDescent="0.2">
      <c r="A93" s="29">
        <v>7</v>
      </c>
      <c r="B93" t="s">
        <v>82</v>
      </c>
      <c r="C93">
        <v>2</v>
      </c>
      <c r="D93">
        <v>2</v>
      </c>
      <c r="E93">
        <v>2</v>
      </c>
      <c r="F93">
        <v>3</v>
      </c>
      <c r="G93">
        <v>80</v>
      </c>
    </row>
    <row r="94" spans="1:7" x14ac:dyDescent="0.2">
      <c r="A94" s="29">
        <v>7</v>
      </c>
      <c r="B94" t="s">
        <v>82</v>
      </c>
      <c r="C94">
        <v>2</v>
      </c>
      <c r="D94">
        <v>2</v>
      </c>
      <c r="E94">
        <v>3</v>
      </c>
      <c r="F94">
        <v>3</v>
      </c>
      <c r="G94">
        <v>80</v>
      </c>
    </row>
    <row r="95" spans="1:7" x14ac:dyDescent="0.2">
      <c r="A95" s="29">
        <v>8</v>
      </c>
      <c r="B95" t="s">
        <v>83</v>
      </c>
      <c r="C95">
        <v>2</v>
      </c>
      <c r="D95">
        <v>2</v>
      </c>
      <c r="E95">
        <v>1</v>
      </c>
      <c r="F95">
        <v>3</v>
      </c>
      <c r="G95">
        <v>55</v>
      </c>
    </row>
    <row r="96" spans="1:7" x14ac:dyDescent="0.2">
      <c r="A96" s="29">
        <v>8</v>
      </c>
      <c r="B96" t="s">
        <v>83</v>
      </c>
      <c r="C96">
        <v>2</v>
      </c>
      <c r="D96">
        <v>2</v>
      </c>
      <c r="E96">
        <v>2</v>
      </c>
      <c r="F96">
        <v>3</v>
      </c>
      <c r="G96">
        <v>80</v>
      </c>
    </row>
    <row r="97" spans="1:7" x14ac:dyDescent="0.2">
      <c r="A97" s="29">
        <v>8</v>
      </c>
      <c r="B97" t="s">
        <v>83</v>
      </c>
      <c r="C97">
        <v>2</v>
      </c>
      <c r="D97">
        <v>2</v>
      </c>
      <c r="E97">
        <v>3</v>
      </c>
      <c r="F97">
        <v>3</v>
      </c>
      <c r="G97">
        <v>80</v>
      </c>
    </row>
    <row r="98" spans="1:7" x14ac:dyDescent="0.2">
      <c r="A98" s="29">
        <v>9</v>
      </c>
      <c r="B98" t="s">
        <v>120</v>
      </c>
      <c r="C98">
        <v>2</v>
      </c>
      <c r="D98">
        <v>2</v>
      </c>
      <c r="E98">
        <v>1</v>
      </c>
      <c r="F98">
        <v>3</v>
      </c>
      <c r="G98">
        <v>90</v>
      </c>
    </row>
    <row r="99" spans="1:7" x14ac:dyDescent="0.2">
      <c r="A99" s="29">
        <v>9</v>
      </c>
      <c r="B99" t="s">
        <v>120</v>
      </c>
      <c r="C99">
        <v>2</v>
      </c>
      <c r="D99">
        <v>2</v>
      </c>
      <c r="E99">
        <v>2</v>
      </c>
      <c r="F99">
        <v>3</v>
      </c>
      <c r="G99">
        <v>85</v>
      </c>
    </row>
    <row r="100" spans="1:7" x14ac:dyDescent="0.2">
      <c r="A100" s="29">
        <v>9</v>
      </c>
      <c r="B100" t="s">
        <v>120</v>
      </c>
      <c r="C100">
        <v>2</v>
      </c>
      <c r="D100">
        <v>2</v>
      </c>
      <c r="E100">
        <v>3</v>
      </c>
      <c r="F100">
        <v>3</v>
      </c>
      <c r="G100">
        <v>90</v>
      </c>
    </row>
    <row r="101" spans="1:7" x14ac:dyDescent="0.2">
      <c r="A101" s="29">
        <v>10</v>
      </c>
      <c r="B101" t="s">
        <v>85</v>
      </c>
      <c r="C101">
        <v>2</v>
      </c>
      <c r="D101">
        <v>2</v>
      </c>
      <c r="E101">
        <v>1</v>
      </c>
      <c r="F101">
        <v>3</v>
      </c>
      <c r="G101">
        <v>60</v>
      </c>
    </row>
    <row r="102" spans="1:7" x14ac:dyDescent="0.2">
      <c r="A102" s="29">
        <v>10</v>
      </c>
      <c r="B102" t="s">
        <v>85</v>
      </c>
      <c r="C102">
        <v>2</v>
      </c>
      <c r="D102">
        <v>2</v>
      </c>
      <c r="E102">
        <v>2</v>
      </c>
      <c r="F102">
        <v>3</v>
      </c>
      <c r="G102">
        <v>85</v>
      </c>
    </row>
    <row r="103" spans="1:7" x14ac:dyDescent="0.2">
      <c r="A103" s="29">
        <v>10</v>
      </c>
      <c r="B103" t="s">
        <v>85</v>
      </c>
      <c r="C103">
        <v>2</v>
      </c>
      <c r="D103">
        <v>2</v>
      </c>
      <c r="E103">
        <v>3</v>
      </c>
      <c r="F103">
        <v>3</v>
      </c>
      <c r="G103">
        <v>85</v>
      </c>
    </row>
    <row r="104" spans="1:7" x14ac:dyDescent="0.2">
      <c r="A104" s="29">
        <v>11</v>
      </c>
      <c r="B104" t="s">
        <v>125</v>
      </c>
      <c r="C104">
        <v>2</v>
      </c>
      <c r="D104">
        <v>2</v>
      </c>
      <c r="E104">
        <v>1</v>
      </c>
      <c r="F104">
        <v>3</v>
      </c>
    </row>
    <row r="105" spans="1:7" x14ac:dyDescent="0.2">
      <c r="A105" s="29">
        <v>11</v>
      </c>
      <c r="B105" t="s">
        <v>125</v>
      </c>
      <c r="C105">
        <v>2</v>
      </c>
      <c r="D105">
        <v>2</v>
      </c>
      <c r="E105">
        <v>2</v>
      </c>
      <c r="F105">
        <v>3</v>
      </c>
    </row>
    <row r="106" spans="1:7" x14ac:dyDescent="0.2">
      <c r="A106" s="29">
        <v>11</v>
      </c>
      <c r="B106" t="s">
        <v>125</v>
      </c>
      <c r="C106">
        <v>2</v>
      </c>
      <c r="D106">
        <v>2</v>
      </c>
      <c r="E106">
        <v>3</v>
      </c>
      <c r="F106">
        <v>3</v>
      </c>
    </row>
    <row r="107" spans="1:7" x14ac:dyDescent="0.2">
      <c r="A107" s="29">
        <v>12</v>
      </c>
      <c r="B107" t="s">
        <v>124</v>
      </c>
      <c r="C107">
        <v>2</v>
      </c>
      <c r="D107">
        <v>2</v>
      </c>
      <c r="E107">
        <v>1</v>
      </c>
      <c r="F107">
        <v>3</v>
      </c>
    </row>
    <row r="108" spans="1:7" x14ac:dyDescent="0.2">
      <c r="A108" s="29">
        <v>12</v>
      </c>
      <c r="B108" t="s">
        <v>124</v>
      </c>
      <c r="C108">
        <v>2</v>
      </c>
      <c r="D108">
        <v>2</v>
      </c>
      <c r="E108">
        <v>2</v>
      </c>
      <c r="F108">
        <v>3</v>
      </c>
    </row>
    <row r="109" spans="1:7" x14ac:dyDescent="0.2">
      <c r="A109" s="29">
        <v>12</v>
      </c>
      <c r="B109" t="s">
        <v>124</v>
      </c>
      <c r="C109">
        <v>2</v>
      </c>
      <c r="D109">
        <v>2</v>
      </c>
      <c r="E109">
        <v>3</v>
      </c>
      <c r="F109">
        <v>3</v>
      </c>
    </row>
    <row r="110" spans="1:7" x14ac:dyDescent="0.2">
      <c r="A110" s="29">
        <v>13</v>
      </c>
      <c r="B110" t="s">
        <v>82</v>
      </c>
      <c r="C110">
        <v>3</v>
      </c>
      <c r="D110">
        <v>2</v>
      </c>
      <c r="E110">
        <v>1</v>
      </c>
      <c r="F110">
        <v>3</v>
      </c>
      <c r="G110">
        <v>80</v>
      </c>
    </row>
    <row r="111" spans="1:7" x14ac:dyDescent="0.2">
      <c r="A111" s="29">
        <v>13</v>
      </c>
      <c r="B111" t="s">
        <v>82</v>
      </c>
      <c r="C111">
        <v>3</v>
      </c>
      <c r="D111">
        <v>2</v>
      </c>
      <c r="E111">
        <v>2</v>
      </c>
      <c r="F111">
        <v>3</v>
      </c>
      <c r="G111">
        <v>80</v>
      </c>
    </row>
    <row r="112" spans="1:7" x14ac:dyDescent="0.2">
      <c r="A112" s="29">
        <v>13</v>
      </c>
      <c r="B112" t="s">
        <v>82</v>
      </c>
      <c r="C112">
        <v>3</v>
      </c>
      <c r="D112">
        <v>2</v>
      </c>
      <c r="E112">
        <v>3</v>
      </c>
      <c r="F112">
        <v>3</v>
      </c>
      <c r="G112">
        <v>85</v>
      </c>
    </row>
    <row r="113" spans="1:7" x14ac:dyDescent="0.2">
      <c r="A113" s="29">
        <v>14</v>
      </c>
      <c r="B113" t="s">
        <v>83</v>
      </c>
      <c r="C113">
        <v>3</v>
      </c>
      <c r="D113">
        <v>2</v>
      </c>
      <c r="E113">
        <v>1</v>
      </c>
      <c r="F113">
        <v>3</v>
      </c>
      <c r="G113">
        <v>90</v>
      </c>
    </row>
    <row r="114" spans="1:7" x14ac:dyDescent="0.2">
      <c r="A114" s="29">
        <v>14</v>
      </c>
      <c r="B114" t="s">
        <v>83</v>
      </c>
      <c r="C114">
        <v>3</v>
      </c>
      <c r="D114">
        <v>2</v>
      </c>
      <c r="E114">
        <v>2</v>
      </c>
      <c r="F114">
        <v>3</v>
      </c>
      <c r="G114">
        <v>85</v>
      </c>
    </row>
    <row r="115" spans="1:7" x14ac:dyDescent="0.2">
      <c r="A115" s="29">
        <v>14</v>
      </c>
      <c r="B115" t="s">
        <v>83</v>
      </c>
      <c r="C115">
        <v>3</v>
      </c>
      <c r="D115">
        <v>2</v>
      </c>
      <c r="E115">
        <v>3</v>
      </c>
      <c r="F115">
        <v>3</v>
      </c>
      <c r="G115">
        <v>90</v>
      </c>
    </row>
    <row r="116" spans="1:7" x14ac:dyDescent="0.2">
      <c r="A116" s="29">
        <v>15</v>
      </c>
      <c r="B116" t="s">
        <v>120</v>
      </c>
      <c r="C116">
        <v>3</v>
      </c>
      <c r="D116">
        <v>2</v>
      </c>
      <c r="E116">
        <v>1</v>
      </c>
      <c r="F116">
        <v>3</v>
      </c>
      <c r="G116">
        <v>85</v>
      </c>
    </row>
    <row r="117" spans="1:7" x14ac:dyDescent="0.2">
      <c r="A117" s="29">
        <v>15</v>
      </c>
      <c r="B117" t="s">
        <v>120</v>
      </c>
      <c r="C117">
        <v>3</v>
      </c>
      <c r="D117">
        <v>2</v>
      </c>
      <c r="E117">
        <v>2</v>
      </c>
      <c r="F117">
        <v>3</v>
      </c>
      <c r="G117">
        <v>80</v>
      </c>
    </row>
    <row r="118" spans="1:7" x14ac:dyDescent="0.2">
      <c r="A118" s="29">
        <v>15</v>
      </c>
      <c r="B118" t="s">
        <v>120</v>
      </c>
      <c r="C118">
        <v>3</v>
      </c>
      <c r="D118">
        <v>2</v>
      </c>
      <c r="E118">
        <v>3</v>
      </c>
      <c r="F118">
        <v>3</v>
      </c>
      <c r="G118">
        <v>80</v>
      </c>
    </row>
    <row r="119" spans="1:7" x14ac:dyDescent="0.2">
      <c r="A119" s="29">
        <v>16</v>
      </c>
      <c r="B119" t="s">
        <v>85</v>
      </c>
      <c r="C119">
        <v>3</v>
      </c>
      <c r="D119">
        <v>2</v>
      </c>
      <c r="E119">
        <v>1</v>
      </c>
      <c r="F119">
        <v>3</v>
      </c>
      <c r="G119">
        <v>90</v>
      </c>
    </row>
    <row r="120" spans="1:7" x14ac:dyDescent="0.2">
      <c r="A120" s="29">
        <v>16</v>
      </c>
      <c r="B120" t="s">
        <v>85</v>
      </c>
      <c r="C120">
        <v>3</v>
      </c>
      <c r="D120">
        <v>2</v>
      </c>
      <c r="E120">
        <v>2</v>
      </c>
      <c r="F120">
        <v>3</v>
      </c>
      <c r="G120">
        <v>80</v>
      </c>
    </row>
    <row r="121" spans="1:7" x14ac:dyDescent="0.2">
      <c r="A121" s="29">
        <v>16</v>
      </c>
      <c r="B121" t="s">
        <v>85</v>
      </c>
      <c r="C121">
        <v>3</v>
      </c>
      <c r="D121">
        <v>2</v>
      </c>
      <c r="E121">
        <v>3</v>
      </c>
      <c r="F121">
        <v>3</v>
      </c>
      <c r="G121">
        <v>90</v>
      </c>
    </row>
    <row r="122" spans="1:7" x14ac:dyDescent="0.2">
      <c r="A122" s="29">
        <v>17</v>
      </c>
      <c r="B122" t="s">
        <v>125</v>
      </c>
      <c r="C122">
        <v>3</v>
      </c>
      <c r="D122">
        <v>2</v>
      </c>
      <c r="E122">
        <v>1</v>
      </c>
      <c r="F122">
        <v>3</v>
      </c>
      <c r="G122">
        <v>85</v>
      </c>
    </row>
    <row r="123" spans="1:7" x14ac:dyDescent="0.2">
      <c r="A123" s="29">
        <v>17</v>
      </c>
      <c r="B123" t="s">
        <v>125</v>
      </c>
      <c r="C123">
        <v>3</v>
      </c>
      <c r="D123">
        <v>2</v>
      </c>
      <c r="E123">
        <v>2</v>
      </c>
      <c r="F123">
        <v>3</v>
      </c>
      <c r="G123">
        <v>90</v>
      </c>
    </row>
    <row r="124" spans="1:7" x14ac:dyDescent="0.2">
      <c r="A124" s="29">
        <v>17</v>
      </c>
      <c r="B124" t="s">
        <v>125</v>
      </c>
      <c r="C124">
        <v>3</v>
      </c>
      <c r="D124">
        <v>2</v>
      </c>
      <c r="E124">
        <v>3</v>
      </c>
      <c r="F124">
        <v>3</v>
      </c>
      <c r="G124">
        <v>70</v>
      </c>
    </row>
    <row r="125" spans="1:7" x14ac:dyDescent="0.2">
      <c r="A125" s="29">
        <v>18</v>
      </c>
      <c r="B125" t="s">
        <v>124</v>
      </c>
      <c r="C125">
        <v>3</v>
      </c>
      <c r="D125">
        <v>2</v>
      </c>
      <c r="E125">
        <v>1</v>
      </c>
      <c r="F125">
        <v>3</v>
      </c>
      <c r="G125">
        <v>85</v>
      </c>
    </row>
    <row r="126" spans="1:7" x14ac:dyDescent="0.2">
      <c r="A126" s="29">
        <v>18</v>
      </c>
      <c r="B126" t="s">
        <v>124</v>
      </c>
      <c r="C126">
        <v>3</v>
      </c>
      <c r="D126">
        <v>2</v>
      </c>
      <c r="E126">
        <v>2</v>
      </c>
      <c r="F126">
        <v>3</v>
      </c>
      <c r="G126">
        <v>65</v>
      </c>
    </row>
    <row r="127" spans="1:7" x14ac:dyDescent="0.2">
      <c r="A127" s="29">
        <v>18</v>
      </c>
      <c r="B127" t="s">
        <v>124</v>
      </c>
      <c r="C127">
        <v>3</v>
      </c>
      <c r="D127">
        <v>2</v>
      </c>
      <c r="E127">
        <v>3</v>
      </c>
      <c r="F127">
        <v>3</v>
      </c>
      <c r="G127">
        <v>80</v>
      </c>
    </row>
    <row r="128" spans="1:7" x14ac:dyDescent="0.2">
      <c r="A128" s="29">
        <v>19</v>
      </c>
      <c r="B128" t="s">
        <v>82</v>
      </c>
      <c r="C128">
        <v>4</v>
      </c>
      <c r="D128">
        <v>2</v>
      </c>
      <c r="E128">
        <v>1</v>
      </c>
      <c r="F128">
        <v>3</v>
      </c>
      <c r="G128">
        <v>55</v>
      </c>
    </row>
    <row r="129" spans="1:7" x14ac:dyDescent="0.2">
      <c r="A129" s="29">
        <v>19</v>
      </c>
      <c r="B129" t="s">
        <v>82</v>
      </c>
      <c r="C129">
        <v>4</v>
      </c>
      <c r="D129">
        <v>2</v>
      </c>
      <c r="E129">
        <v>2</v>
      </c>
      <c r="F129">
        <v>3</v>
      </c>
      <c r="G129">
        <v>60</v>
      </c>
    </row>
    <row r="130" spans="1:7" x14ac:dyDescent="0.2">
      <c r="A130" s="29">
        <v>19</v>
      </c>
      <c r="B130" t="s">
        <v>82</v>
      </c>
      <c r="C130">
        <v>4</v>
      </c>
      <c r="D130">
        <v>2</v>
      </c>
      <c r="E130">
        <v>3</v>
      </c>
      <c r="F130">
        <v>3</v>
      </c>
      <c r="G130">
        <v>60</v>
      </c>
    </row>
    <row r="131" spans="1:7" x14ac:dyDescent="0.2">
      <c r="A131" s="29">
        <v>20</v>
      </c>
      <c r="B131" t="s">
        <v>83</v>
      </c>
      <c r="C131">
        <v>4</v>
      </c>
      <c r="D131">
        <v>2</v>
      </c>
      <c r="E131">
        <v>1</v>
      </c>
      <c r="F131">
        <v>3</v>
      </c>
      <c r="G131">
        <v>80</v>
      </c>
    </row>
    <row r="132" spans="1:7" x14ac:dyDescent="0.2">
      <c r="A132" s="29">
        <v>20</v>
      </c>
      <c r="B132" t="s">
        <v>83</v>
      </c>
      <c r="C132">
        <v>4</v>
      </c>
      <c r="D132">
        <v>2</v>
      </c>
      <c r="E132">
        <v>2</v>
      </c>
      <c r="F132">
        <v>3</v>
      </c>
      <c r="G132">
        <v>80</v>
      </c>
    </row>
    <row r="133" spans="1:7" x14ac:dyDescent="0.2">
      <c r="A133" s="29">
        <v>20</v>
      </c>
      <c r="B133" t="s">
        <v>83</v>
      </c>
      <c r="C133">
        <v>4</v>
      </c>
      <c r="D133">
        <v>2</v>
      </c>
      <c r="E133">
        <v>3</v>
      </c>
      <c r="F133">
        <v>3</v>
      </c>
      <c r="G133">
        <v>85</v>
      </c>
    </row>
    <row r="134" spans="1:7" x14ac:dyDescent="0.2">
      <c r="A134" s="29">
        <v>21</v>
      </c>
      <c r="B134" t="s">
        <v>120</v>
      </c>
      <c r="C134">
        <v>4</v>
      </c>
      <c r="D134">
        <v>2</v>
      </c>
      <c r="E134">
        <v>1</v>
      </c>
      <c r="F134">
        <v>3</v>
      </c>
      <c r="G134">
        <v>80</v>
      </c>
    </row>
    <row r="135" spans="1:7" x14ac:dyDescent="0.2">
      <c r="A135" s="29">
        <v>21</v>
      </c>
      <c r="B135" t="s">
        <v>120</v>
      </c>
      <c r="C135">
        <v>4</v>
      </c>
      <c r="D135">
        <v>2</v>
      </c>
      <c r="E135">
        <v>2</v>
      </c>
      <c r="F135">
        <v>3</v>
      </c>
      <c r="G135">
        <v>65</v>
      </c>
    </row>
    <row r="136" spans="1:7" x14ac:dyDescent="0.2">
      <c r="A136" s="29">
        <v>21</v>
      </c>
      <c r="B136" t="s">
        <v>120</v>
      </c>
      <c r="C136">
        <v>4</v>
      </c>
      <c r="D136">
        <v>2</v>
      </c>
      <c r="E136">
        <v>3</v>
      </c>
      <c r="F136">
        <v>3</v>
      </c>
      <c r="G136">
        <v>65</v>
      </c>
    </row>
    <row r="137" spans="1:7" x14ac:dyDescent="0.2">
      <c r="A137" s="29">
        <v>22</v>
      </c>
      <c r="B137" t="s">
        <v>85</v>
      </c>
      <c r="C137">
        <v>4</v>
      </c>
      <c r="D137">
        <v>2</v>
      </c>
      <c r="E137">
        <v>1</v>
      </c>
      <c r="F137">
        <v>3</v>
      </c>
      <c r="G137">
        <v>90</v>
      </c>
    </row>
    <row r="138" spans="1:7" x14ac:dyDescent="0.2">
      <c r="A138" s="29">
        <v>22</v>
      </c>
      <c r="B138" t="s">
        <v>85</v>
      </c>
      <c r="C138">
        <v>4</v>
      </c>
      <c r="D138">
        <v>2</v>
      </c>
      <c r="E138">
        <v>2</v>
      </c>
      <c r="F138">
        <v>3</v>
      </c>
      <c r="G138">
        <v>70</v>
      </c>
    </row>
    <row r="139" spans="1:7" x14ac:dyDescent="0.2">
      <c r="A139" s="29">
        <v>22</v>
      </c>
      <c r="B139" t="s">
        <v>85</v>
      </c>
      <c r="C139">
        <v>4</v>
      </c>
      <c r="D139">
        <v>2</v>
      </c>
      <c r="E139">
        <v>3</v>
      </c>
      <c r="F139">
        <v>3</v>
      </c>
      <c r="G139">
        <v>75</v>
      </c>
    </row>
    <row r="140" spans="1:7" x14ac:dyDescent="0.2">
      <c r="A140" s="29">
        <v>23</v>
      </c>
      <c r="B140" t="s">
        <v>125</v>
      </c>
      <c r="C140">
        <v>4</v>
      </c>
      <c r="D140">
        <v>2</v>
      </c>
      <c r="E140">
        <v>1</v>
      </c>
      <c r="F140">
        <v>3</v>
      </c>
      <c r="G140">
        <v>90</v>
      </c>
    </row>
    <row r="141" spans="1:7" x14ac:dyDescent="0.2">
      <c r="A141" s="29">
        <v>23</v>
      </c>
      <c r="B141" t="s">
        <v>125</v>
      </c>
      <c r="C141">
        <v>4</v>
      </c>
      <c r="D141">
        <v>2</v>
      </c>
      <c r="E141">
        <v>2</v>
      </c>
      <c r="F141">
        <v>3</v>
      </c>
      <c r="G141">
        <v>85</v>
      </c>
    </row>
    <row r="142" spans="1:7" x14ac:dyDescent="0.2">
      <c r="A142" s="29">
        <v>23</v>
      </c>
      <c r="B142" t="s">
        <v>125</v>
      </c>
      <c r="C142">
        <v>4</v>
      </c>
      <c r="D142">
        <v>2</v>
      </c>
      <c r="E142">
        <v>3</v>
      </c>
      <c r="F142">
        <v>3</v>
      </c>
      <c r="G142">
        <v>80</v>
      </c>
    </row>
    <row r="143" spans="1:7" x14ac:dyDescent="0.2">
      <c r="A143" s="29">
        <v>24</v>
      </c>
      <c r="B143" t="s">
        <v>124</v>
      </c>
      <c r="C143">
        <v>4</v>
      </c>
      <c r="D143">
        <v>2</v>
      </c>
      <c r="E143">
        <v>1</v>
      </c>
      <c r="F143">
        <v>3</v>
      </c>
      <c r="G143">
        <v>95</v>
      </c>
    </row>
    <row r="144" spans="1:7" x14ac:dyDescent="0.2">
      <c r="A144" s="29">
        <v>24</v>
      </c>
      <c r="B144" t="s">
        <v>124</v>
      </c>
      <c r="C144">
        <v>4</v>
      </c>
      <c r="D144">
        <v>2</v>
      </c>
      <c r="E144">
        <v>2</v>
      </c>
      <c r="F144">
        <v>3</v>
      </c>
      <c r="G144">
        <v>60</v>
      </c>
    </row>
    <row r="145" spans="1:7" x14ac:dyDescent="0.2">
      <c r="A145" s="29">
        <v>24</v>
      </c>
      <c r="B145" t="s">
        <v>124</v>
      </c>
      <c r="C145">
        <v>4</v>
      </c>
      <c r="D145">
        <v>2</v>
      </c>
      <c r="E145">
        <v>3</v>
      </c>
      <c r="F145">
        <v>3</v>
      </c>
      <c r="G145">
        <v>70</v>
      </c>
    </row>
    <row r="146" spans="1:7" x14ac:dyDescent="0.2">
      <c r="A146" s="29">
        <v>1</v>
      </c>
      <c r="B146" t="s">
        <v>82</v>
      </c>
      <c r="C146">
        <v>1</v>
      </c>
      <c r="D146">
        <v>3</v>
      </c>
      <c r="E146">
        <v>1</v>
      </c>
      <c r="F146">
        <v>6</v>
      </c>
      <c r="G146">
        <v>100</v>
      </c>
    </row>
    <row r="147" spans="1:7" x14ac:dyDescent="0.2">
      <c r="A147" s="29">
        <v>1</v>
      </c>
      <c r="B147" t="s">
        <v>82</v>
      </c>
      <c r="C147">
        <v>1</v>
      </c>
      <c r="D147">
        <v>3</v>
      </c>
      <c r="E147">
        <v>2</v>
      </c>
      <c r="F147">
        <v>6</v>
      </c>
      <c r="G147">
        <v>100</v>
      </c>
    </row>
    <row r="148" spans="1:7" x14ac:dyDescent="0.2">
      <c r="A148" s="29">
        <v>1</v>
      </c>
      <c r="B148" t="s">
        <v>82</v>
      </c>
      <c r="C148">
        <v>1</v>
      </c>
      <c r="D148">
        <v>3</v>
      </c>
      <c r="E148">
        <v>3</v>
      </c>
      <c r="F148">
        <v>6</v>
      </c>
      <c r="G148">
        <v>105</v>
      </c>
    </row>
    <row r="149" spans="1:7" x14ac:dyDescent="0.2">
      <c r="A149" s="29">
        <v>2</v>
      </c>
      <c r="B149" t="s">
        <v>83</v>
      </c>
      <c r="C149">
        <v>1</v>
      </c>
      <c r="D149">
        <v>3</v>
      </c>
      <c r="E149">
        <v>1</v>
      </c>
      <c r="F149">
        <v>6</v>
      </c>
      <c r="G149">
        <v>110</v>
      </c>
    </row>
    <row r="150" spans="1:7" x14ac:dyDescent="0.2">
      <c r="A150" s="29">
        <v>2</v>
      </c>
      <c r="B150" t="s">
        <v>83</v>
      </c>
      <c r="C150">
        <v>1</v>
      </c>
      <c r="D150">
        <v>3</v>
      </c>
      <c r="E150">
        <v>2</v>
      </c>
      <c r="F150">
        <v>6</v>
      </c>
      <c r="G150">
        <v>115</v>
      </c>
    </row>
    <row r="151" spans="1:7" x14ac:dyDescent="0.2">
      <c r="A151" s="29">
        <v>2</v>
      </c>
      <c r="B151" t="s">
        <v>83</v>
      </c>
      <c r="C151">
        <v>1</v>
      </c>
      <c r="D151">
        <v>3</v>
      </c>
      <c r="E151">
        <v>3</v>
      </c>
      <c r="F151">
        <v>6</v>
      </c>
      <c r="G151">
        <v>110</v>
      </c>
    </row>
    <row r="152" spans="1:7" x14ac:dyDescent="0.2">
      <c r="A152" s="29">
        <v>3</v>
      </c>
      <c r="B152" t="s">
        <v>120</v>
      </c>
      <c r="C152">
        <v>1</v>
      </c>
      <c r="D152">
        <v>3</v>
      </c>
      <c r="E152">
        <v>1</v>
      </c>
      <c r="F152">
        <v>6</v>
      </c>
      <c r="G152">
        <v>110</v>
      </c>
    </row>
    <row r="153" spans="1:7" x14ac:dyDescent="0.2">
      <c r="A153" s="29">
        <v>3</v>
      </c>
      <c r="B153" t="s">
        <v>120</v>
      </c>
      <c r="C153">
        <v>1</v>
      </c>
      <c r="D153">
        <v>3</v>
      </c>
      <c r="E153">
        <v>2</v>
      </c>
      <c r="F153">
        <v>6</v>
      </c>
      <c r="G153">
        <v>110</v>
      </c>
    </row>
    <row r="154" spans="1:7" x14ac:dyDescent="0.2">
      <c r="A154" s="29">
        <v>3</v>
      </c>
      <c r="B154" t="s">
        <v>120</v>
      </c>
      <c r="C154">
        <v>1</v>
      </c>
      <c r="D154">
        <v>3</v>
      </c>
      <c r="E154">
        <v>3</v>
      </c>
      <c r="F154">
        <v>6</v>
      </c>
      <c r="G154">
        <v>100</v>
      </c>
    </row>
    <row r="155" spans="1:7" x14ac:dyDescent="0.2">
      <c r="A155" s="29">
        <v>4</v>
      </c>
      <c r="B155" t="s">
        <v>85</v>
      </c>
      <c r="C155">
        <v>1</v>
      </c>
      <c r="D155">
        <v>3</v>
      </c>
      <c r="E155">
        <v>1</v>
      </c>
      <c r="F155">
        <v>6</v>
      </c>
    </row>
    <row r="156" spans="1:7" x14ac:dyDescent="0.2">
      <c r="A156" s="29">
        <v>4</v>
      </c>
      <c r="B156" t="s">
        <v>85</v>
      </c>
      <c r="C156">
        <v>1</v>
      </c>
      <c r="D156">
        <v>3</v>
      </c>
      <c r="E156">
        <v>2</v>
      </c>
      <c r="F156">
        <v>6</v>
      </c>
    </row>
    <row r="157" spans="1:7" x14ac:dyDescent="0.2">
      <c r="A157" s="29">
        <v>4</v>
      </c>
      <c r="B157" t="s">
        <v>85</v>
      </c>
      <c r="C157">
        <v>1</v>
      </c>
      <c r="D157">
        <v>3</v>
      </c>
      <c r="E157">
        <v>3</v>
      </c>
      <c r="F157">
        <v>6</v>
      </c>
    </row>
    <row r="158" spans="1:7" x14ac:dyDescent="0.2">
      <c r="A158" s="29">
        <v>5</v>
      </c>
      <c r="B158" t="s">
        <v>125</v>
      </c>
      <c r="C158">
        <v>1</v>
      </c>
      <c r="D158">
        <v>3</v>
      </c>
      <c r="E158">
        <v>1</v>
      </c>
      <c r="F158">
        <v>6</v>
      </c>
      <c r="G158">
        <v>110</v>
      </c>
    </row>
    <row r="159" spans="1:7" x14ac:dyDescent="0.2">
      <c r="A159" s="29">
        <v>5</v>
      </c>
      <c r="B159" t="s">
        <v>125</v>
      </c>
      <c r="C159">
        <v>1</v>
      </c>
      <c r="D159">
        <v>3</v>
      </c>
      <c r="E159">
        <v>2</v>
      </c>
      <c r="F159">
        <v>6</v>
      </c>
      <c r="G159">
        <v>105</v>
      </c>
    </row>
    <row r="160" spans="1:7" x14ac:dyDescent="0.2">
      <c r="A160" s="29">
        <v>5</v>
      </c>
      <c r="B160" t="s">
        <v>125</v>
      </c>
      <c r="C160">
        <v>1</v>
      </c>
      <c r="D160">
        <v>3</v>
      </c>
      <c r="E160">
        <v>3</v>
      </c>
      <c r="F160">
        <v>6</v>
      </c>
      <c r="G160">
        <v>105</v>
      </c>
    </row>
    <row r="161" spans="1:7" x14ac:dyDescent="0.2">
      <c r="A161" s="29">
        <v>6</v>
      </c>
      <c r="B161" t="s">
        <v>124</v>
      </c>
      <c r="C161">
        <v>1</v>
      </c>
      <c r="D161">
        <v>3</v>
      </c>
      <c r="E161">
        <v>1</v>
      </c>
      <c r="F161">
        <v>6</v>
      </c>
      <c r="G161">
        <v>115</v>
      </c>
    </row>
    <row r="162" spans="1:7" x14ac:dyDescent="0.2">
      <c r="A162" s="29">
        <v>6</v>
      </c>
      <c r="B162" t="s">
        <v>124</v>
      </c>
      <c r="C162">
        <v>1</v>
      </c>
      <c r="D162">
        <v>3</v>
      </c>
      <c r="E162">
        <v>2</v>
      </c>
      <c r="F162">
        <v>6</v>
      </c>
      <c r="G162">
        <v>110</v>
      </c>
    </row>
    <row r="163" spans="1:7" x14ac:dyDescent="0.2">
      <c r="A163" s="29">
        <v>6</v>
      </c>
      <c r="B163" t="s">
        <v>124</v>
      </c>
      <c r="C163">
        <v>1</v>
      </c>
      <c r="D163">
        <v>3</v>
      </c>
      <c r="E163">
        <v>3</v>
      </c>
      <c r="F163">
        <v>6</v>
      </c>
      <c r="G163">
        <v>110</v>
      </c>
    </row>
    <row r="164" spans="1:7" x14ac:dyDescent="0.2">
      <c r="A164" s="29">
        <v>7</v>
      </c>
      <c r="B164" t="s">
        <v>82</v>
      </c>
      <c r="C164">
        <v>2</v>
      </c>
      <c r="D164">
        <v>3</v>
      </c>
      <c r="E164">
        <v>1</v>
      </c>
      <c r="F164">
        <v>6</v>
      </c>
      <c r="G164">
        <v>110</v>
      </c>
    </row>
    <row r="165" spans="1:7" x14ac:dyDescent="0.2">
      <c r="A165" s="29">
        <v>7</v>
      </c>
      <c r="B165" t="s">
        <v>82</v>
      </c>
      <c r="C165">
        <v>2</v>
      </c>
      <c r="D165">
        <v>3</v>
      </c>
      <c r="E165">
        <v>2</v>
      </c>
      <c r="F165">
        <v>6</v>
      </c>
      <c r="G165">
        <v>100</v>
      </c>
    </row>
    <row r="166" spans="1:7" x14ac:dyDescent="0.2">
      <c r="A166" s="29">
        <v>7</v>
      </c>
      <c r="B166" t="s">
        <v>82</v>
      </c>
      <c r="C166">
        <v>2</v>
      </c>
      <c r="D166">
        <v>3</v>
      </c>
      <c r="E166">
        <v>3</v>
      </c>
      <c r="F166">
        <v>6</v>
      </c>
      <c r="G166">
        <v>110</v>
      </c>
    </row>
    <row r="167" spans="1:7" x14ac:dyDescent="0.2">
      <c r="A167" s="29">
        <v>8</v>
      </c>
      <c r="B167" t="s">
        <v>83</v>
      </c>
      <c r="C167">
        <v>2</v>
      </c>
      <c r="D167">
        <v>3</v>
      </c>
      <c r="E167">
        <v>1</v>
      </c>
      <c r="F167">
        <v>6</v>
      </c>
      <c r="G167">
        <v>120</v>
      </c>
    </row>
    <row r="168" spans="1:7" x14ac:dyDescent="0.2">
      <c r="A168" s="29">
        <v>8</v>
      </c>
      <c r="B168" t="s">
        <v>83</v>
      </c>
      <c r="C168">
        <v>2</v>
      </c>
      <c r="D168">
        <v>3</v>
      </c>
      <c r="E168">
        <v>2</v>
      </c>
      <c r="F168">
        <v>6</v>
      </c>
      <c r="G168">
        <v>120</v>
      </c>
    </row>
    <row r="169" spans="1:7" x14ac:dyDescent="0.2">
      <c r="A169" s="29">
        <v>8</v>
      </c>
      <c r="B169" t="s">
        <v>83</v>
      </c>
      <c r="C169">
        <v>2</v>
      </c>
      <c r="D169">
        <v>3</v>
      </c>
      <c r="E169">
        <v>3</v>
      </c>
      <c r="F169">
        <v>6</v>
      </c>
      <c r="G169">
        <v>110</v>
      </c>
    </row>
    <row r="170" spans="1:7" x14ac:dyDescent="0.2">
      <c r="A170" s="29">
        <v>9</v>
      </c>
      <c r="B170" t="s">
        <v>120</v>
      </c>
      <c r="C170">
        <v>2</v>
      </c>
      <c r="D170">
        <v>3</v>
      </c>
      <c r="E170">
        <v>1</v>
      </c>
      <c r="F170">
        <v>6</v>
      </c>
      <c r="G170">
        <v>110</v>
      </c>
    </row>
    <row r="171" spans="1:7" x14ac:dyDescent="0.2">
      <c r="A171" s="29">
        <v>9</v>
      </c>
      <c r="B171" t="s">
        <v>120</v>
      </c>
      <c r="C171">
        <v>2</v>
      </c>
      <c r="D171">
        <v>3</v>
      </c>
      <c r="E171">
        <v>2</v>
      </c>
      <c r="F171">
        <v>6</v>
      </c>
      <c r="G171">
        <v>100</v>
      </c>
    </row>
    <row r="172" spans="1:7" x14ac:dyDescent="0.2">
      <c r="A172" s="29">
        <v>9</v>
      </c>
      <c r="B172" t="s">
        <v>120</v>
      </c>
      <c r="C172">
        <v>2</v>
      </c>
      <c r="D172">
        <v>3</v>
      </c>
      <c r="E172">
        <v>3</v>
      </c>
      <c r="F172">
        <v>6</v>
      </c>
      <c r="G172">
        <v>120</v>
      </c>
    </row>
    <row r="173" spans="1:7" x14ac:dyDescent="0.2">
      <c r="A173" s="29">
        <v>10</v>
      </c>
      <c r="B173" t="s">
        <v>85</v>
      </c>
      <c r="C173">
        <v>2</v>
      </c>
      <c r="D173">
        <v>3</v>
      </c>
      <c r="E173">
        <v>1</v>
      </c>
      <c r="F173">
        <v>6</v>
      </c>
      <c r="G173">
        <v>100</v>
      </c>
    </row>
    <row r="174" spans="1:7" x14ac:dyDescent="0.2">
      <c r="A174" s="29">
        <v>10</v>
      </c>
      <c r="B174" t="s">
        <v>85</v>
      </c>
      <c r="C174">
        <v>2</v>
      </c>
      <c r="D174">
        <v>3</v>
      </c>
      <c r="E174">
        <v>2</v>
      </c>
      <c r="F174">
        <v>6</v>
      </c>
    </row>
    <row r="175" spans="1:7" x14ac:dyDescent="0.2">
      <c r="A175" s="29">
        <v>10</v>
      </c>
      <c r="B175" t="s">
        <v>85</v>
      </c>
      <c r="C175">
        <v>2</v>
      </c>
      <c r="D175">
        <v>3</v>
      </c>
      <c r="E175">
        <v>3</v>
      </c>
      <c r="F175">
        <v>6</v>
      </c>
    </row>
    <row r="176" spans="1:7" x14ac:dyDescent="0.2">
      <c r="A176" s="29">
        <v>11</v>
      </c>
      <c r="B176" t="s">
        <v>125</v>
      </c>
      <c r="C176">
        <v>2</v>
      </c>
      <c r="D176">
        <v>3</v>
      </c>
      <c r="E176">
        <v>1</v>
      </c>
      <c r="F176">
        <v>6</v>
      </c>
    </row>
    <row r="177" spans="1:7" x14ac:dyDescent="0.2">
      <c r="A177" s="29">
        <v>11</v>
      </c>
      <c r="B177" t="s">
        <v>125</v>
      </c>
      <c r="C177">
        <v>2</v>
      </c>
      <c r="D177">
        <v>3</v>
      </c>
      <c r="E177">
        <v>2</v>
      </c>
      <c r="F177">
        <v>6</v>
      </c>
    </row>
    <row r="178" spans="1:7" x14ac:dyDescent="0.2">
      <c r="A178" s="29">
        <v>11</v>
      </c>
      <c r="B178" t="s">
        <v>125</v>
      </c>
      <c r="C178">
        <v>2</v>
      </c>
      <c r="D178">
        <v>3</v>
      </c>
      <c r="E178">
        <v>3</v>
      </c>
      <c r="F178">
        <v>6</v>
      </c>
    </row>
    <row r="179" spans="1:7" x14ac:dyDescent="0.2">
      <c r="A179" s="29">
        <v>12</v>
      </c>
      <c r="B179" t="s">
        <v>124</v>
      </c>
      <c r="C179">
        <v>2</v>
      </c>
      <c r="D179">
        <v>3</v>
      </c>
      <c r="E179">
        <v>1</v>
      </c>
      <c r="F179">
        <v>6</v>
      </c>
    </row>
    <row r="180" spans="1:7" x14ac:dyDescent="0.2">
      <c r="A180" s="29">
        <v>12</v>
      </c>
      <c r="B180" t="s">
        <v>124</v>
      </c>
      <c r="C180">
        <v>2</v>
      </c>
      <c r="D180">
        <v>3</v>
      </c>
      <c r="E180">
        <v>2</v>
      </c>
      <c r="F180">
        <v>6</v>
      </c>
    </row>
    <row r="181" spans="1:7" x14ac:dyDescent="0.2">
      <c r="A181" s="29">
        <v>12</v>
      </c>
      <c r="B181" t="s">
        <v>124</v>
      </c>
      <c r="C181">
        <v>2</v>
      </c>
      <c r="D181">
        <v>3</v>
      </c>
      <c r="E181">
        <v>3</v>
      </c>
      <c r="F181">
        <v>6</v>
      </c>
    </row>
    <row r="182" spans="1:7" x14ac:dyDescent="0.2">
      <c r="A182" s="29">
        <v>13</v>
      </c>
      <c r="B182" t="s">
        <v>82</v>
      </c>
      <c r="C182">
        <v>3</v>
      </c>
      <c r="D182">
        <v>3</v>
      </c>
      <c r="E182">
        <v>1</v>
      </c>
      <c r="F182">
        <v>6</v>
      </c>
      <c r="G182">
        <v>110</v>
      </c>
    </row>
    <row r="183" spans="1:7" x14ac:dyDescent="0.2">
      <c r="A183" s="29">
        <v>13</v>
      </c>
      <c r="B183" t="s">
        <v>82</v>
      </c>
      <c r="C183">
        <v>3</v>
      </c>
      <c r="D183">
        <v>3</v>
      </c>
      <c r="E183">
        <v>2</v>
      </c>
      <c r="F183">
        <v>6</v>
      </c>
      <c r="G183">
        <v>110</v>
      </c>
    </row>
    <row r="184" spans="1:7" x14ac:dyDescent="0.2">
      <c r="A184" s="29">
        <v>13</v>
      </c>
      <c r="B184" t="s">
        <v>82</v>
      </c>
      <c r="C184">
        <v>3</v>
      </c>
      <c r="D184">
        <v>3</v>
      </c>
      <c r="E184">
        <v>3</v>
      </c>
      <c r="F184">
        <v>6</v>
      </c>
      <c r="G184">
        <v>100</v>
      </c>
    </row>
    <row r="185" spans="1:7" x14ac:dyDescent="0.2">
      <c r="A185" s="29">
        <v>14</v>
      </c>
      <c r="B185" t="s">
        <v>83</v>
      </c>
      <c r="C185">
        <v>3</v>
      </c>
      <c r="D185">
        <v>3</v>
      </c>
      <c r="E185">
        <v>1</v>
      </c>
      <c r="F185">
        <v>6</v>
      </c>
      <c r="G185">
        <v>115</v>
      </c>
    </row>
    <row r="186" spans="1:7" x14ac:dyDescent="0.2">
      <c r="A186" s="29">
        <v>14</v>
      </c>
      <c r="B186" t="s">
        <v>83</v>
      </c>
      <c r="C186">
        <v>3</v>
      </c>
      <c r="D186">
        <v>3</v>
      </c>
      <c r="E186">
        <v>2</v>
      </c>
      <c r="F186">
        <v>6</v>
      </c>
      <c r="G186">
        <v>110</v>
      </c>
    </row>
    <row r="187" spans="1:7" x14ac:dyDescent="0.2">
      <c r="A187" s="29">
        <v>14</v>
      </c>
      <c r="B187" t="s">
        <v>83</v>
      </c>
      <c r="C187">
        <v>3</v>
      </c>
      <c r="D187">
        <v>3</v>
      </c>
      <c r="E187">
        <v>3</v>
      </c>
      <c r="F187">
        <v>6</v>
      </c>
      <c r="G187">
        <v>110</v>
      </c>
    </row>
    <row r="188" spans="1:7" x14ac:dyDescent="0.2">
      <c r="A188" s="29">
        <v>15</v>
      </c>
      <c r="B188" t="s">
        <v>120</v>
      </c>
      <c r="C188">
        <v>3</v>
      </c>
      <c r="D188">
        <v>3</v>
      </c>
      <c r="E188">
        <v>1</v>
      </c>
      <c r="F188">
        <v>6</v>
      </c>
      <c r="G188">
        <v>110</v>
      </c>
    </row>
    <row r="189" spans="1:7" x14ac:dyDescent="0.2">
      <c r="A189" s="29">
        <v>15</v>
      </c>
      <c r="B189" t="s">
        <v>120</v>
      </c>
      <c r="C189">
        <v>3</v>
      </c>
      <c r="D189">
        <v>3</v>
      </c>
      <c r="E189">
        <v>2</v>
      </c>
      <c r="F189">
        <v>6</v>
      </c>
      <c r="G189">
        <v>110</v>
      </c>
    </row>
    <row r="190" spans="1:7" x14ac:dyDescent="0.2">
      <c r="A190" s="29">
        <v>15</v>
      </c>
      <c r="B190" t="s">
        <v>120</v>
      </c>
      <c r="C190">
        <v>3</v>
      </c>
      <c r="D190">
        <v>3</v>
      </c>
      <c r="E190">
        <v>3</v>
      </c>
      <c r="F190">
        <v>6</v>
      </c>
      <c r="G190">
        <v>110</v>
      </c>
    </row>
    <row r="191" spans="1:7" x14ac:dyDescent="0.2">
      <c r="A191" s="29">
        <v>16</v>
      </c>
      <c r="B191" t="s">
        <v>85</v>
      </c>
      <c r="C191">
        <v>3</v>
      </c>
      <c r="D191">
        <v>3</v>
      </c>
      <c r="E191">
        <v>1</v>
      </c>
      <c r="F191">
        <v>6</v>
      </c>
      <c r="G191">
        <v>100</v>
      </c>
    </row>
    <row r="192" spans="1:7" x14ac:dyDescent="0.2">
      <c r="A192" s="29">
        <v>16</v>
      </c>
      <c r="B192" t="s">
        <v>85</v>
      </c>
      <c r="C192">
        <v>3</v>
      </c>
      <c r="D192">
        <v>3</v>
      </c>
      <c r="E192">
        <v>2</v>
      </c>
      <c r="F192">
        <v>6</v>
      </c>
      <c r="G192">
        <v>110</v>
      </c>
    </row>
    <row r="193" spans="1:7" x14ac:dyDescent="0.2">
      <c r="A193" s="29">
        <v>16</v>
      </c>
      <c r="B193" t="s">
        <v>85</v>
      </c>
      <c r="C193">
        <v>3</v>
      </c>
      <c r="D193">
        <v>3</v>
      </c>
      <c r="E193">
        <v>3</v>
      </c>
      <c r="F193">
        <v>6</v>
      </c>
      <c r="G193">
        <v>100</v>
      </c>
    </row>
    <row r="194" spans="1:7" x14ac:dyDescent="0.2">
      <c r="A194" s="29">
        <v>17</v>
      </c>
      <c r="B194" t="s">
        <v>125</v>
      </c>
      <c r="C194">
        <v>3</v>
      </c>
      <c r="D194">
        <v>3</v>
      </c>
      <c r="E194">
        <v>1</v>
      </c>
      <c r="F194">
        <v>6</v>
      </c>
      <c r="G194">
        <v>100</v>
      </c>
    </row>
    <row r="195" spans="1:7" x14ac:dyDescent="0.2">
      <c r="A195" s="29">
        <v>17</v>
      </c>
      <c r="B195" t="s">
        <v>125</v>
      </c>
      <c r="C195">
        <v>3</v>
      </c>
      <c r="D195">
        <v>3</v>
      </c>
      <c r="E195">
        <v>2</v>
      </c>
      <c r="F195">
        <v>6</v>
      </c>
      <c r="G195">
        <v>110</v>
      </c>
    </row>
    <row r="196" spans="1:7" x14ac:dyDescent="0.2">
      <c r="A196" s="29">
        <v>17</v>
      </c>
      <c r="B196" t="s">
        <v>125</v>
      </c>
      <c r="C196">
        <v>3</v>
      </c>
      <c r="D196">
        <v>3</v>
      </c>
      <c r="E196">
        <v>3</v>
      </c>
      <c r="F196">
        <v>6</v>
      </c>
      <c r="G196">
        <v>120</v>
      </c>
    </row>
    <row r="197" spans="1:7" x14ac:dyDescent="0.2">
      <c r="A197" s="29">
        <v>18</v>
      </c>
      <c r="B197" t="s">
        <v>124</v>
      </c>
      <c r="C197">
        <v>3</v>
      </c>
      <c r="D197">
        <v>3</v>
      </c>
      <c r="E197">
        <v>1</v>
      </c>
      <c r="F197">
        <v>6</v>
      </c>
      <c r="G197">
        <v>90</v>
      </c>
    </row>
    <row r="198" spans="1:7" x14ac:dyDescent="0.2">
      <c r="A198" s="29">
        <v>18</v>
      </c>
      <c r="B198" t="s">
        <v>124</v>
      </c>
      <c r="C198">
        <v>3</v>
      </c>
      <c r="D198">
        <v>3</v>
      </c>
      <c r="E198">
        <v>2</v>
      </c>
      <c r="F198">
        <v>6</v>
      </c>
      <c r="G198">
        <v>90</v>
      </c>
    </row>
    <row r="199" spans="1:7" x14ac:dyDescent="0.2">
      <c r="A199" s="29">
        <v>18</v>
      </c>
      <c r="B199" t="s">
        <v>124</v>
      </c>
      <c r="C199">
        <v>3</v>
      </c>
      <c r="D199">
        <v>3</v>
      </c>
      <c r="E199">
        <v>3</v>
      </c>
      <c r="F199">
        <v>6</v>
      </c>
      <c r="G199">
        <v>100</v>
      </c>
    </row>
    <row r="200" spans="1:7" x14ac:dyDescent="0.2">
      <c r="A200" s="29">
        <v>19</v>
      </c>
      <c r="B200" t="s">
        <v>82</v>
      </c>
      <c r="C200">
        <v>4</v>
      </c>
      <c r="D200">
        <v>3</v>
      </c>
      <c r="E200">
        <v>1</v>
      </c>
      <c r="F200">
        <v>6</v>
      </c>
      <c r="G200">
        <v>110</v>
      </c>
    </row>
    <row r="201" spans="1:7" x14ac:dyDescent="0.2">
      <c r="A201" s="29">
        <v>19</v>
      </c>
      <c r="B201" t="s">
        <v>82</v>
      </c>
      <c r="C201">
        <v>4</v>
      </c>
      <c r="D201">
        <v>3</v>
      </c>
      <c r="E201">
        <v>2</v>
      </c>
      <c r="F201">
        <v>6</v>
      </c>
    </row>
    <row r="202" spans="1:7" x14ac:dyDescent="0.2">
      <c r="A202" s="29">
        <v>19</v>
      </c>
      <c r="B202" t="s">
        <v>82</v>
      </c>
      <c r="C202">
        <v>4</v>
      </c>
      <c r="D202">
        <v>3</v>
      </c>
      <c r="E202">
        <v>3</v>
      </c>
      <c r="F202">
        <v>6</v>
      </c>
    </row>
    <row r="203" spans="1:7" x14ac:dyDescent="0.2">
      <c r="A203" s="29">
        <v>20</v>
      </c>
      <c r="B203" t="s">
        <v>83</v>
      </c>
      <c r="C203">
        <v>4</v>
      </c>
      <c r="D203">
        <v>3</v>
      </c>
      <c r="E203">
        <v>1</v>
      </c>
      <c r="F203">
        <v>6</v>
      </c>
      <c r="G203">
        <v>110</v>
      </c>
    </row>
    <row r="204" spans="1:7" x14ac:dyDescent="0.2">
      <c r="A204" s="29">
        <v>20</v>
      </c>
      <c r="B204" t="s">
        <v>83</v>
      </c>
      <c r="C204">
        <v>4</v>
      </c>
      <c r="D204">
        <v>3</v>
      </c>
      <c r="E204">
        <v>2</v>
      </c>
      <c r="F204">
        <v>6</v>
      </c>
      <c r="G204">
        <v>110</v>
      </c>
    </row>
    <row r="205" spans="1:7" x14ac:dyDescent="0.2">
      <c r="A205" s="29">
        <v>20</v>
      </c>
      <c r="B205" t="s">
        <v>83</v>
      </c>
      <c r="C205">
        <v>4</v>
      </c>
      <c r="D205">
        <v>3</v>
      </c>
      <c r="E205">
        <v>3</v>
      </c>
      <c r="F205">
        <v>6</v>
      </c>
    </row>
    <row r="206" spans="1:7" x14ac:dyDescent="0.2">
      <c r="A206" s="29">
        <v>21</v>
      </c>
      <c r="B206" t="s">
        <v>120</v>
      </c>
      <c r="C206">
        <v>4</v>
      </c>
      <c r="D206">
        <v>3</v>
      </c>
      <c r="E206">
        <v>1</v>
      </c>
      <c r="F206">
        <v>6</v>
      </c>
      <c r="G206">
        <v>90</v>
      </c>
    </row>
    <row r="207" spans="1:7" x14ac:dyDescent="0.2">
      <c r="A207" s="29">
        <v>21</v>
      </c>
      <c r="B207" t="s">
        <v>120</v>
      </c>
      <c r="C207">
        <v>4</v>
      </c>
      <c r="D207">
        <v>3</v>
      </c>
      <c r="E207">
        <v>2</v>
      </c>
      <c r="F207">
        <v>6</v>
      </c>
      <c r="G207">
        <v>100</v>
      </c>
    </row>
    <row r="208" spans="1:7" x14ac:dyDescent="0.2">
      <c r="A208" s="29">
        <v>21</v>
      </c>
      <c r="B208" t="s">
        <v>120</v>
      </c>
      <c r="C208">
        <v>4</v>
      </c>
      <c r="D208">
        <v>3</v>
      </c>
      <c r="E208">
        <v>3</v>
      </c>
      <c r="F208">
        <v>6</v>
      </c>
    </row>
    <row r="209" spans="1:7" x14ac:dyDescent="0.2">
      <c r="A209" s="29">
        <v>22</v>
      </c>
      <c r="B209" t="s">
        <v>85</v>
      </c>
      <c r="C209">
        <v>4</v>
      </c>
      <c r="D209">
        <v>3</v>
      </c>
      <c r="E209">
        <v>1</v>
      </c>
      <c r="F209">
        <v>6</v>
      </c>
      <c r="G209">
        <v>80</v>
      </c>
    </row>
    <row r="210" spans="1:7" x14ac:dyDescent="0.2">
      <c r="A210" s="29">
        <v>22</v>
      </c>
      <c r="B210" t="s">
        <v>85</v>
      </c>
      <c r="C210">
        <v>4</v>
      </c>
      <c r="D210">
        <v>3</v>
      </c>
      <c r="E210">
        <v>2</v>
      </c>
      <c r="F210">
        <v>6</v>
      </c>
      <c r="G210">
        <v>100</v>
      </c>
    </row>
    <row r="211" spans="1:7" x14ac:dyDescent="0.2">
      <c r="A211" s="29">
        <v>22</v>
      </c>
      <c r="B211" t="s">
        <v>85</v>
      </c>
      <c r="C211">
        <v>4</v>
      </c>
      <c r="D211">
        <v>3</v>
      </c>
      <c r="E211">
        <v>3</v>
      </c>
      <c r="F211">
        <v>6</v>
      </c>
    </row>
    <row r="212" spans="1:7" x14ac:dyDescent="0.2">
      <c r="A212" s="29">
        <v>23</v>
      </c>
      <c r="B212" t="s">
        <v>125</v>
      </c>
      <c r="C212">
        <v>4</v>
      </c>
      <c r="D212">
        <v>3</v>
      </c>
      <c r="E212">
        <v>1</v>
      </c>
      <c r="F212">
        <v>6</v>
      </c>
      <c r="G212">
        <v>100</v>
      </c>
    </row>
    <row r="213" spans="1:7" x14ac:dyDescent="0.2">
      <c r="A213" s="29">
        <v>23</v>
      </c>
      <c r="B213" t="s">
        <v>125</v>
      </c>
      <c r="C213">
        <v>4</v>
      </c>
      <c r="D213">
        <v>3</v>
      </c>
      <c r="E213">
        <v>2</v>
      </c>
      <c r="F213">
        <v>6</v>
      </c>
      <c r="G213">
        <v>110</v>
      </c>
    </row>
    <row r="214" spans="1:7" x14ac:dyDescent="0.2">
      <c r="A214" s="29">
        <v>23</v>
      </c>
      <c r="B214" t="s">
        <v>125</v>
      </c>
      <c r="C214">
        <v>4</v>
      </c>
      <c r="D214">
        <v>3</v>
      </c>
      <c r="E214">
        <v>3</v>
      </c>
      <c r="F214">
        <v>6</v>
      </c>
      <c r="G214">
        <v>110</v>
      </c>
    </row>
    <row r="215" spans="1:7" x14ac:dyDescent="0.2">
      <c r="A215" s="29">
        <v>24</v>
      </c>
      <c r="B215" t="s">
        <v>124</v>
      </c>
      <c r="C215">
        <v>4</v>
      </c>
      <c r="D215">
        <v>3</v>
      </c>
      <c r="E215">
        <v>1</v>
      </c>
      <c r="F215">
        <v>6</v>
      </c>
      <c r="G215">
        <v>100</v>
      </c>
    </row>
    <row r="216" spans="1:7" x14ac:dyDescent="0.2">
      <c r="A216" s="29">
        <v>24</v>
      </c>
      <c r="B216" t="s">
        <v>124</v>
      </c>
      <c r="C216">
        <v>4</v>
      </c>
      <c r="D216">
        <v>3</v>
      </c>
      <c r="E216">
        <v>2</v>
      </c>
      <c r="F216">
        <v>6</v>
      </c>
      <c r="G216">
        <v>100</v>
      </c>
    </row>
    <row r="217" spans="1:7" x14ac:dyDescent="0.2">
      <c r="A217" s="29">
        <v>24</v>
      </c>
      <c r="B217" t="s">
        <v>124</v>
      </c>
      <c r="C217">
        <v>4</v>
      </c>
      <c r="D217">
        <v>3</v>
      </c>
      <c r="E217">
        <v>3</v>
      </c>
      <c r="F217">
        <v>6</v>
      </c>
    </row>
    <row r="218" spans="1:7" x14ac:dyDescent="0.2">
      <c r="A218" s="29">
        <v>1</v>
      </c>
      <c r="B218" t="s">
        <v>82</v>
      </c>
      <c r="C218">
        <v>1</v>
      </c>
      <c r="D218">
        <v>3</v>
      </c>
      <c r="E218">
        <v>1</v>
      </c>
      <c r="F218">
        <v>8</v>
      </c>
      <c r="G218">
        <v>135</v>
      </c>
    </row>
    <row r="219" spans="1:7" x14ac:dyDescent="0.2">
      <c r="A219" s="29">
        <v>1</v>
      </c>
      <c r="B219" t="s">
        <v>82</v>
      </c>
      <c r="C219">
        <v>1</v>
      </c>
      <c r="D219">
        <v>3</v>
      </c>
      <c r="E219">
        <v>2</v>
      </c>
      <c r="F219">
        <v>8</v>
      </c>
      <c r="G219">
        <v>130</v>
      </c>
    </row>
    <row r="220" spans="1:7" x14ac:dyDescent="0.2">
      <c r="A220" s="29">
        <v>1</v>
      </c>
      <c r="B220" t="s">
        <v>82</v>
      </c>
      <c r="C220">
        <v>1</v>
      </c>
      <c r="D220">
        <v>3</v>
      </c>
      <c r="E220">
        <v>3</v>
      </c>
      <c r="F220">
        <v>8</v>
      </c>
      <c r="G220">
        <v>120</v>
      </c>
    </row>
    <row r="221" spans="1:7" x14ac:dyDescent="0.2">
      <c r="A221" s="29">
        <v>2</v>
      </c>
      <c r="B221" t="s">
        <v>83</v>
      </c>
      <c r="C221">
        <v>1</v>
      </c>
      <c r="D221">
        <v>3</v>
      </c>
      <c r="E221">
        <v>1</v>
      </c>
      <c r="F221">
        <v>8</v>
      </c>
      <c r="G221">
        <v>120</v>
      </c>
    </row>
    <row r="222" spans="1:7" x14ac:dyDescent="0.2">
      <c r="A222" s="29">
        <v>2</v>
      </c>
      <c r="B222" t="s">
        <v>83</v>
      </c>
      <c r="C222">
        <v>1</v>
      </c>
      <c r="D222">
        <v>3</v>
      </c>
      <c r="E222">
        <v>2</v>
      </c>
      <c r="F222">
        <v>8</v>
      </c>
      <c r="G222">
        <v>150</v>
      </c>
    </row>
    <row r="223" spans="1:7" x14ac:dyDescent="0.2">
      <c r="A223" s="29">
        <v>2</v>
      </c>
      <c r="B223" t="s">
        <v>83</v>
      </c>
      <c r="C223">
        <v>1</v>
      </c>
      <c r="D223">
        <v>3</v>
      </c>
      <c r="E223">
        <v>3</v>
      </c>
      <c r="F223">
        <v>8</v>
      </c>
      <c r="G223">
        <v>130</v>
      </c>
    </row>
    <row r="224" spans="1:7" x14ac:dyDescent="0.2">
      <c r="A224" s="29">
        <v>3</v>
      </c>
      <c r="B224" t="s">
        <v>120</v>
      </c>
      <c r="C224">
        <v>1</v>
      </c>
      <c r="D224">
        <v>3</v>
      </c>
      <c r="E224">
        <v>1</v>
      </c>
      <c r="F224">
        <v>8</v>
      </c>
      <c r="G224">
        <v>150</v>
      </c>
    </row>
    <row r="225" spans="1:7" x14ac:dyDescent="0.2">
      <c r="A225" s="29">
        <v>3</v>
      </c>
      <c r="B225" t="s">
        <v>120</v>
      </c>
      <c r="C225">
        <v>1</v>
      </c>
      <c r="D225">
        <v>3</v>
      </c>
      <c r="E225">
        <v>2</v>
      </c>
      <c r="F225">
        <v>8</v>
      </c>
      <c r="G225">
        <v>80</v>
      </c>
    </row>
    <row r="226" spans="1:7" x14ac:dyDescent="0.2">
      <c r="A226" s="29">
        <v>3</v>
      </c>
      <c r="B226" t="s">
        <v>120</v>
      </c>
      <c r="C226">
        <v>1</v>
      </c>
      <c r="D226">
        <v>3</v>
      </c>
      <c r="E226">
        <v>3</v>
      </c>
      <c r="F226">
        <v>8</v>
      </c>
      <c r="G226">
        <v>155</v>
      </c>
    </row>
    <row r="227" spans="1:7" x14ac:dyDescent="0.2">
      <c r="A227" s="29">
        <v>4</v>
      </c>
      <c r="B227" t="s">
        <v>85</v>
      </c>
      <c r="C227">
        <v>1</v>
      </c>
      <c r="D227">
        <v>3</v>
      </c>
      <c r="E227">
        <v>1</v>
      </c>
      <c r="F227">
        <v>8</v>
      </c>
    </row>
    <row r="228" spans="1:7" x14ac:dyDescent="0.2">
      <c r="A228" s="29">
        <v>4</v>
      </c>
      <c r="B228" t="s">
        <v>85</v>
      </c>
      <c r="C228">
        <v>1</v>
      </c>
      <c r="D228">
        <v>3</v>
      </c>
      <c r="E228">
        <v>2</v>
      </c>
      <c r="F228">
        <v>8</v>
      </c>
    </row>
    <row r="229" spans="1:7" x14ac:dyDescent="0.2">
      <c r="A229" s="29">
        <v>4</v>
      </c>
      <c r="B229" t="s">
        <v>85</v>
      </c>
      <c r="C229">
        <v>1</v>
      </c>
      <c r="D229">
        <v>3</v>
      </c>
      <c r="E229">
        <v>3</v>
      </c>
      <c r="F229">
        <v>8</v>
      </c>
    </row>
    <row r="230" spans="1:7" x14ac:dyDescent="0.2">
      <c r="A230" s="29">
        <v>5</v>
      </c>
      <c r="B230" t="s">
        <v>125</v>
      </c>
      <c r="C230">
        <v>1</v>
      </c>
      <c r="D230">
        <v>3</v>
      </c>
      <c r="E230">
        <v>1</v>
      </c>
      <c r="F230">
        <v>8</v>
      </c>
    </row>
    <row r="231" spans="1:7" x14ac:dyDescent="0.2">
      <c r="A231" s="29">
        <v>5</v>
      </c>
      <c r="B231" t="s">
        <v>125</v>
      </c>
      <c r="C231">
        <v>1</v>
      </c>
      <c r="D231">
        <v>3</v>
      </c>
      <c r="E231">
        <v>2</v>
      </c>
      <c r="F231">
        <v>8</v>
      </c>
    </row>
    <row r="232" spans="1:7" x14ac:dyDescent="0.2">
      <c r="A232" s="29">
        <v>5</v>
      </c>
      <c r="B232" t="s">
        <v>125</v>
      </c>
      <c r="C232">
        <v>1</v>
      </c>
      <c r="D232">
        <v>3</v>
      </c>
      <c r="E232">
        <v>3</v>
      </c>
      <c r="F232">
        <v>8</v>
      </c>
    </row>
    <row r="233" spans="1:7" x14ac:dyDescent="0.2">
      <c r="A233" s="29">
        <v>6</v>
      </c>
      <c r="B233" t="s">
        <v>124</v>
      </c>
      <c r="C233">
        <v>1</v>
      </c>
      <c r="D233">
        <v>3</v>
      </c>
      <c r="E233">
        <v>1</v>
      </c>
      <c r="F233">
        <v>8</v>
      </c>
      <c r="G233">
        <v>130</v>
      </c>
    </row>
    <row r="234" spans="1:7" x14ac:dyDescent="0.2">
      <c r="A234" s="29">
        <v>6</v>
      </c>
      <c r="B234" t="s">
        <v>124</v>
      </c>
      <c r="C234">
        <v>1</v>
      </c>
      <c r="D234">
        <v>3</v>
      </c>
      <c r="E234">
        <v>2</v>
      </c>
      <c r="F234">
        <v>8</v>
      </c>
      <c r="G234">
        <v>145</v>
      </c>
    </row>
    <row r="235" spans="1:7" x14ac:dyDescent="0.2">
      <c r="A235" s="29">
        <v>6</v>
      </c>
      <c r="B235" t="s">
        <v>124</v>
      </c>
      <c r="C235">
        <v>1</v>
      </c>
      <c r="D235">
        <v>3</v>
      </c>
      <c r="E235">
        <v>3</v>
      </c>
      <c r="F235">
        <v>8</v>
      </c>
      <c r="G235">
        <v>125</v>
      </c>
    </row>
    <row r="236" spans="1:7" x14ac:dyDescent="0.2">
      <c r="A236" s="29">
        <v>7</v>
      </c>
      <c r="B236" t="s">
        <v>82</v>
      </c>
      <c r="C236">
        <v>2</v>
      </c>
      <c r="D236">
        <v>3</v>
      </c>
      <c r="E236">
        <v>1</v>
      </c>
      <c r="F236">
        <v>8</v>
      </c>
      <c r="G236">
        <v>145</v>
      </c>
    </row>
    <row r="237" spans="1:7" x14ac:dyDescent="0.2">
      <c r="A237" s="29">
        <v>7</v>
      </c>
      <c r="B237" t="s">
        <v>82</v>
      </c>
      <c r="C237">
        <v>2</v>
      </c>
      <c r="D237">
        <v>3</v>
      </c>
      <c r="E237">
        <v>2</v>
      </c>
      <c r="F237">
        <v>8</v>
      </c>
      <c r="G237">
        <v>170</v>
      </c>
    </row>
    <row r="238" spans="1:7" x14ac:dyDescent="0.2">
      <c r="A238" s="29">
        <v>7</v>
      </c>
      <c r="B238" t="s">
        <v>82</v>
      </c>
      <c r="C238">
        <v>2</v>
      </c>
      <c r="D238">
        <v>3</v>
      </c>
      <c r="E238">
        <v>3</v>
      </c>
      <c r="F238">
        <v>8</v>
      </c>
      <c r="G238">
        <v>140</v>
      </c>
    </row>
    <row r="239" spans="1:7" x14ac:dyDescent="0.2">
      <c r="A239" s="29">
        <v>8</v>
      </c>
      <c r="B239" t="s">
        <v>83</v>
      </c>
      <c r="C239">
        <v>2</v>
      </c>
      <c r="D239">
        <v>3</v>
      </c>
      <c r="E239">
        <v>1</v>
      </c>
      <c r="F239">
        <v>8</v>
      </c>
      <c r="G239">
        <v>170</v>
      </c>
    </row>
    <row r="240" spans="1:7" x14ac:dyDescent="0.2">
      <c r="A240" s="29">
        <v>8</v>
      </c>
      <c r="B240" t="s">
        <v>83</v>
      </c>
      <c r="C240">
        <v>2</v>
      </c>
      <c r="D240">
        <v>3</v>
      </c>
      <c r="E240">
        <v>2</v>
      </c>
      <c r="F240">
        <v>8</v>
      </c>
      <c r="G240">
        <v>170</v>
      </c>
    </row>
    <row r="241" spans="1:7" x14ac:dyDescent="0.2">
      <c r="A241" s="29">
        <v>8</v>
      </c>
      <c r="B241" t="s">
        <v>83</v>
      </c>
      <c r="C241">
        <v>2</v>
      </c>
      <c r="D241">
        <v>3</v>
      </c>
      <c r="E241">
        <v>3</v>
      </c>
      <c r="F241">
        <v>8</v>
      </c>
      <c r="G241">
        <v>180</v>
      </c>
    </row>
    <row r="242" spans="1:7" x14ac:dyDescent="0.2">
      <c r="A242" s="29">
        <v>9</v>
      </c>
      <c r="B242" t="s">
        <v>120</v>
      </c>
      <c r="C242">
        <v>2</v>
      </c>
      <c r="D242">
        <v>3</v>
      </c>
      <c r="E242">
        <v>1</v>
      </c>
      <c r="F242">
        <v>8</v>
      </c>
      <c r="G242">
        <v>140</v>
      </c>
    </row>
    <row r="243" spans="1:7" x14ac:dyDescent="0.2">
      <c r="A243" s="29">
        <v>9</v>
      </c>
      <c r="B243" t="s">
        <v>120</v>
      </c>
      <c r="C243">
        <v>2</v>
      </c>
      <c r="D243">
        <v>3</v>
      </c>
      <c r="E243">
        <v>2</v>
      </c>
      <c r="F243">
        <v>8</v>
      </c>
      <c r="G243">
        <v>150</v>
      </c>
    </row>
    <row r="244" spans="1:7" x14ac:dyDescent="0.2">
      <c r="A244" s="29">
        <v>9</v>
      </c>
      <c r="B244" t="s">
        <v>120</v>
      </c>
      <c r="C244">
        <v>2</v>
      </c>
      <c r="D244">
        <v>3</v>
      </c>
      <c r="E244">
        <v>3</v>
      </c>
      <c r="F244">
        <v>8</v>
      </c>
      <c r="G244">
        <v>140</v>
      </c>
    </row>
    <row r="245" spans="1:7" x14ac:dyDescent="0.2">
      <c r="A245" s="29">
        <v>10</v>
      </c>
      <c r="B245" t="s">
        <v>85</v>
      </c>
      <c r="C245">
        <v>2</v>
      </c>
      <c r="D245">
        <v>3</v>
      </c>
      <c r="E245">
        <v>1</v>
      </c>
      <c r="F245">
        <v>8</v>
      </c>
    </row>
    <row r="246" spans="1:7" x14ac:dyDescent="0.2">
      <c r="A246" s="29">
        <v>10</v>
      </c>
      <c r="B246" t="s">
        <v>85</v>
      </c>
      <c r="C246">
        <v>2</v>
      </c>
      <c r="D246">
        <v>3</v>
      </c>
      <c r="E246">
        <v>2</v>
      </c>
      <c r="F246">
        <v>8</v>
      </c>
    </row>
    <row r="247" spans="1:7" x14ac:dyDescent="0.2">
      <c r="A247" s="29">
        <v>10</v>
      </c>
      <c r="B247" t="s">
        <v>85</v>
      </c>
      <c r="C247">
        <v>2</v>
      </c>
      <c r="D247">
        <v>3</v>
      </c>
      <c r="E247">
        <v>3</v>
      </c>
      <c r="F247">
        <v>8</v>
      </c>
    </row>
    <row r="248" spans="1:7" x14ac:dyDescent="0.2">
      <c r="A248" s="29">
        <v>11</v>
      </c>
      <c r="B248" t="s">
        <v>125</v>
      </c>
      <c r="C248">
        <v>2</v>
      </c>
      <c r="D248">
        <v>3</v>
      </c>
      <c r="E248">
        <v>1</v>
      </c>
      <c r="F248">
        <v>8</v>
      </c>
    </row>
    <row r="249" spans="1:7" x14ac:dyDescent="0.2">
      <c r="A249" s="29">
        <v>11</v>
      </c>
      <c r="B249" t="s">
        <v>125</v>
      </c>
      <c r="C249">
        <v>2</v>
      </c>
      <c r="D249">
        <v>3</v>
      </c>
      <c r="E249">
        <v>2</v>
      </c>
      <c r="F249">
        <v>8</v>
      </c>
    </row>
    <row r="250" spans="1:7" x14ac:dyDescent="0.2">
      <c r="A250" s="29">
        <v>11</v>
      </c>
      <c r="B250" t="s">
        <v>125</v>
      </c>
      <c r="C250">
        <v>2</v>
      </c>
      <c r="D250">
        <v>3</v>
      </c>
      <c r="E250">
        <v>3</v>
      </c>
      <c r="F250">
        <v>8</v>
      </c>
    </row>
    <row r="251" spans="1:7" x14ac:dyDescent="0.2">
      <c r="A251" s="29">
        <v>12</v>
      </c>
      <c r="B251" t="s">
        <v>124</v>
      </c>
      <c r="C251">
        <v>2</v>
      </c>
      <c r="D251">
        <v>3</v>
      </c>
      <c r="E251">
        <v>1</v>
      </c>
      <c r="F251">
        <v>8</v>
      </c>
    </row>
    <row r="252" spans="1:7" x14ac:dyDescent="0.2">
      <c r="A252" s="29">
        <v>12</v>
      </c>
      <c r="B252" t="s">
        <v>124</v>
      </c>
      <c r="C252">
        <v>2</v>
      </c>
      <c r="D252">
        <v>3</v>
      </c>
      <c r="E252">
        <v>2</v>
      </c>
      <c r="F252">
        <v>8</v>
      </c>
    </row>
    <row r="253" spans="1:7" x14ac:dyDescent="0.2">
      <c r="A253" s="29">
        <v>12</v>
      </c>
      <c r="B253" t="s">
        <v>124</v>
      </c>
      <c r="C253">
        <v>2</v>
      </c>
      <c r="D253">
        <v>3</v>
      </c>
      <c r="E253">
        <v>3</v>
      </c>
      <c r="F253">
        <v>8</v>
      </c>
    </row>
    <row r="254" spans="1:7" x14ac:dyDescent="0.2">
      <c r="A254" s="29">
        <v>13</v>
      </c>
      <c r="B254" t="s">
        <v>82</v>
      </c>
      <c r="C254">
        <v>3</v>
      </c>
      <c r="D254">
        <v>3</v>
      </c>
      <c r="E254">
        <v>1</v>
      </c>
      <c r="F254">
        <v>8</v>
      </c>
      <c r="G254">
        <v>125</v>
      </c>
    </row>
    <row r="255" spans="1:7" x14ac:dyDescent="0.2">
      <c r="A255" s="29">
        <v>13</v>
      </c>
      <c r="B255" t="s">
        <v>82</v>
      </c>
      <c r="C255">
        <v>3</v>
      </c>
      <c r="D255">
        <v>3</v>
      </c>
      <c r="E255">
        <v>2</v>
      </c>
      <c r="F255">
        <v>8</v>
      </c>
      <c r="G255">
        <v>130</v>
      </c>
    </row>
    <row r="256" spans="1:7" x14ac:dyDescent="0.2">
      <c r="A256" s="29">
        <v>13</v>
      </c>
      <c r="B256" t="s">
        <v>82</v>
      </c>
      <c r="C256">
        <v>3</v>
      </c>
      <c r="D256">
        <v>3</v>
      </c>
      <c r="E256">
        <v>3</v>
      </c>
      <c r="F256">
        <v>8</v>
      </c>
      <c r="G256">
        <v>110</v>
      </c>
    </row>
    <row r="257" spans="1:7" x14ac:dyDescent="0.2">
      <c r="A257" s="29">
        <v>14</v>
      </c>
      <c r="B257" t="s">
        <v>83</v>
      </c>
      <c r="C257">
        <v>3</v>
      </c>
      <c r="D257">
        <v>3</v>
      </c>
      <c r="E257">
        <v>1</v>
      </c>
      <c r="F257">
        <v>8</v>
      </c>
      <c r="G257">
        <v>110</v>
      </c>
    </row>
    <row r="258" spans="1:7" x14ac:dyDescent="0.2">
      <c r="A258" s="29">
        <v>14</v>
      </c>
      <c r="B258" t="s">
        <v>83</v>
      </c>
      <c r="C258">
        <v>3</v>
      </c>
      <c r="D258">
        <v>3</v>
      </c>
      <c r="E258">
        <v>2</v>
      </c>
      <c r="F258">
        <v>8</v>
      </c>
      <c r="G258">
        <v>130</v>
      </c>
    </row>
    <row r="259" spans="1:7" x14ac:dyDescent="0.2">
      <c r="A259" s="29">
        <v>14</v>
      </c>
      <c r="B259" t="s">
        <v>83</v>
      </c>
      <c r="C259">
        <v>3</v>
      </c>
      <c r="D259">
        <v>3</v>
      </c>
      <c r="E259">
        <v>3</v>
      </c>
      <c r="F259">
        <v>8</v>
      </c>
      <c r="G259">
        <v>120</v>
      </c>
    </row>
    <row r="260" spans="1:7" x14ac:dyDescent="0.2">
      <c r="A260" s="29">
        <v>15</v>
      </c>
      <c r="B260" t="s">
        <v>120</v>
      </c>
      <c r="C260">
        <v>3</v>
      </c>
      <c r="D260">
        <v>3</v>
      </c>
      <c r="E260">
        <v>1</v>
      </c>
      <c r="F260">
        <v>8</v>
      </c>
      <c r="G260">
        <v>115</v>
      </c>
    </row>
    <row r="261" spans="1:7" x14ac:dyDescent="0.2">
      <c r="A261" s="29">
        <v>15</v>
      </c>
      <c r="B261" t="s">
        <v>120</v>
      </c>
      <c r="C261">
        <v>3</v>
      </c>
      <c r="D261">
        <v>3</v>
      </c>
      <c r="E261">
        <v>2</v>
      </c>
      <c r="F261">
        <v>8</v>
      </c>
      <c r="G261">
        <v>130</v>
      </c>
    </row>
    <row r="262" spans="1:7" x14ac:dyDescent="0.2">
      <c r="A262" s="29">
        <v>15</v>
      </c>
      <c r="B262" t="s">
        <v>120</v>
      </c>
      <c r="C262">
        <v>3</v>
      </c>
      <c r="D262">
        <v>3</v>
      </c>
      <c r="E262">
        <v>3</v>
      </c>
      <c r="F262">
        <v>8</v>
      </c>
      <c r="G262">
        <v>140</v>
      </c>
    </row>
    <row r="263" spans="1:7" x14ac:dyDescent="0.2">
      <c r="A263" s="29">
        <v>16</v>
      </c>
      <c r="B263" t="s">
        <v>85</v>
      </c>
      <c r="C263">
        <v>3</v>
      </c>
      <c r="D263">
        <v>3</v>
      </c>
      <c r="E263">
        <v>1</v>
      </c>
      <c r="F263">
        <v>8</v>
      </c>
      <c r="G263">
        <v>110</v>
      </c>
    </row>
    <row r="264" spans="1:7" x14ac:dyDescent="0.2">
      <c r="A264" s="29">
        <v>16</v>
      </c>
      <c r="B264" t="s">
        <v>85</v>
      </c>
      <c r="C264">
        <v>3</v>
      </c>
      <c r="D264">
        <v>3</v>
      </c>
      <c r="E264">
        <v>2</v>
      </c>
      <c r="F264">
        <v>8</v>
      </c>
      <c r="G264">
        <v>120</v>
      </c>
    </row>
    <row r="265" spans="1:7" x14ac:dyDescent="0.2">
      <c r="A265" s="29">
        <v>16</v>
      </c>
      <c r="B265" t="s">
        <v>85</v>
      </c>
      <c r="C265">
        <v>3</v>
      </c>
      <c r="D265">
        <v>3</v>
      </c>
      <c r="E265">
        <v>3</v>
      </c>
      <c r="F265">
        <v>8</v>
      </c>
      <c r="G265">
        <v>130</v>
      </c>
    </row>
    <row r="266" spans="1:7" x14ac:dyDescent="0.2">
      <c r="A266" s="29">
        <v>17</v>
      </c>
      <c r="B266" t="s">
        <v>125</v>
      </c>
      <c r="C266">
        <v>3</v>
      </c>
      <c r="D266">
        <v>3</v>
      </c>
      <c r="E266">
        <v>1</v>
      </c>
      <c r="F266">
        <v>8</v>
      </c>
      <c r="G266">
        <v>140</v>
      </c>
    </row>
    <row r="267" spans="1:7" x14ac:dyDescent="0.2">
      <c r="A267" s="29">
        <v>17</v>
      </c>
      <c r="B267" t="s">
        <v>125</v>
      </c>
      <c r="C267">
        <v>3</v>
      </c>
      <c r="D267">
        <v>3</v>
      </c>
      <c r="E267">
        <v>2</v>
      </c>
      <c r="F267">
        <v>8</v>
      </c>
      <c r="G267">
        <v>110</v>
      </c>
    </row>
    <row r="268" spans="1:7" x14ac:dyDescent="0.2">
      <c r="A268" s="29">
        <v>17</v>
      </c>
      <c r="B268" t="s">
        <v>125</v>
      </c>
      <c r="C268">
        <v>3</v>
      </c>
      <c r="D268">
        <v>3</v>
      </c>
      <c r="E268">
        <v>3</v>
      </c>
      <c r="F268">
        <v>8</v>
      </c>
      <c r="G268">
        <v>135</v>
      </c>
    </row>
    <row r="269" spans="1:7" x14ac:dyDescent="0.2">
      <c r="A269" s="29">
        <v>18</v>
      </c>
      <c r="B269" t="s">
        <v>124</v>
      </c>
      <c r="C269">
        <v>3</v>
      </c>
      <c r="D269">
        <v>3</v>
      </c>
      <c r="E269">
        <v>1</v>
      </c>
      <c r="F269">
        <v>8</v>
      </c>
      <c r="G269">
        <v>125</v>
      </c>
    </row>
    <row r="270" spans="1:7" x14ac:dyDescent="0.2">
      <c r="A270" s="29">
        <v>18</v>
      </c>
      <c r="B270" t="s">
        <v>124</v>
      </c>
      <c r="C270">
        <v>3</v>
      </c>
      <c r="D270">
        <v>3</v>
      </c>
      <c r="E270">
        <v>2</v>
      </c>
      <c r="F270">
        <v>8</v>
      </c>
      <c r="G270">
        <v>120</v>
      </c>
    </row>
    <row r="271" spans="1:7" x14ac:dyDescent="0.2">
      <c r="A271" s="29">
        <v>18</v>
      </c>
      <c r="B271" t="s">
        <v>124</v>
      </c>
      <c r="C271">
        <v>3</v>
      </c>
      <c r="D271">
        <v>3</v>
      </c>
      <c r="E271">
        <v>3</v>
      </c>
      <c r="F271">
        <v>8</v>
      </c>
      <c r="G271">
        <v>130</v>
      </c>
    </row>
    <row r="272" spans="1:7" x14ac:dyDescent="0.2">
      <c r="A272" s="29">
        <v>19</v>
      </c>
      <c r="B272" t="s">
        <v>82</v>
      </c>
      <c r="C272">
        <v>4</v>
      </c>
      <c r="D272">
        <v>3</v>
      </c>
      <c r="E272">
        <v>1</v>
      </c>
      <c r="F272">
        <v>8</v>
      </c>
      <c r="G272">
        <v>130</v>
      </c>
    </row>
    <row r="273" spans="1:7" x14ac:dyDescent="0.2">
      <c r="A273" s="29">
        <v>19</v>
      </c>
      <c r="B273" t="s">
        <v>82</v>
      </c>
      <c r="C273">
        <v>4</v>
      </c>
      <c r="D273">
        <v>3</v>
      </c>
      <c r="E273">
        <v>2</v>
      </c>
      <c r="F273">
        <v>8</v>
      </c>
      <c r="G273">
        <v>135</v>
      </c>
    </row>
    <row r="274" spans="1:7" x14ac:dyDescent="0.2">
      <c r="A274" s="29">
        <v>19</v>
      </c>
      <c r="B274" t="s">
        <v>82</v>
      </c>
      <c r="C274">
        <v>4</v>
      </c>
      <c r="D274">
        <v>3</v>
      </c>
      <c r="E274">
        <v>3</v>
      </c>
      <c r="F274">
        <v>8</v>
      </c>
    </row>
    <row r="275" spans="1:7" x14ac:dyDescent="0.2">
      <c r="A275" s="29">
        <v>20</v>
      </c>
      <c r="B275" t="s">
        <v>83</v>
      </c>
      <c r="C275">
        <v>4</v>
      </c>
      <c r="D275">
        <v>3</v>
      </c>
      <c r="E275">
        <v>1</v>
      </c>
      <c r="F275">
        <v>8</v>
      </c>
      <c r="G275">
        <v>120</v>
      </c>
    </row>
    <row r="276" spans="1:7" x14ac:dyDescent="0.2">
      <c r="A276" s="29">
        <v>20</v>
      </c>
      <c r="B276" t="s">
        <v>83</v>
      </c>
      <c r="C276">
        <v>4</v>
      </c>
      <c r="D276">
        <v>3</v>
      </c>
      <c r="E276">
        <v>2</v>
      </c>
      <c r="F276">
        <v>8</v>
      </c>
      <c r="G276">
        <v>115</v>
      </c>
    </row>
    <row r="277" spans="1:7" x14ac:dyDescent="0.2">
      <c r="A277" s="29">
        <v>20</v>
      </c>
      <c r="B277" t="s">
        <v>83</v>
      </c>
      <c r="C277">
        <v>4</v>
      </c>
      <c r="D277">
        <v>3</v>
      </c>
      <c r="E277">
        <v>3</v>
      </c>
      <c r="F277">
        <v>8</v>
      </c>
      <c r="G277">
        <v>115</v>
      </c>
    </row>
    <row r="278" spans="1:7" x14ac:dyDescent="0.2">
      <c r="A278" s="29">
        <v>21</v>
      </c>
      <c r="B278" t="s">
        <v>120</v>
      </c>
      <c r="C278">
        <v>4</v>
      </c>
      <c r="D278">
        <v>3</v>
      </c>
      <c r="E278">
        <v>1</v>
      </c>
      <c r="F278">
        <v>8</v>
      </c>
      <c r="G278">
        <v>100</v>
      </c>
    </row>
    <row r="279" spans="1:7" x14ac:dyDescent="0.2">
      <c r="A279" s="29">
        <v>21</v>
      </c>
      <c r="B279" t="s">
        <v>120</v>
      </c>
      <c r="C279">
        <v>4</v>
      </c>
      <c r="D279">
        <v>3</v>
      </c>
      <c r="E279">
        <v>2</v>
      </c>
      <c r="F279">
        <v>8</v>
      </c>
      <c r="G279">
        <v>85</v>
      </c>
    </row>
    <row r="280" spans="1:7" x14ac:dyDescent="0.2">
      <c r="A280" s="29">
        <v>21</v>
      </c>
      <c r="B280" t="s">
        <v>120</v>
      </c>
      <c r="C280">
        <v>4</v>
      </c>
      <c r="D280">
        <v>3</v>
      </c>
      <c r="E280">
        <v>3</v>
      </c>
      <c r="F280">
        <v>8</v>
      </c>
      <c r="G280">
        <v>145</v>
      </c>
    </row>
    <row r="281" spans="1:7" x14ac:dyDescent="0.2">
      <c r="A281" s="29">
        <v>22</v>
      </c>
      <c r="B281" t="s">
        <v>85</v>
      </c>
      <c r="C281">
        <v>4</v>
      </c>
      <c r="D281">
        <v>3</v>
      </c>
      <c r="E281">
        <v>1</v>
      </c>
      <c r="F281">
        <v>8</v>
      </c>
      <c r="G281">
        <v>110</v>
      </c>
    </row>
    <row r="282" spans="1:7" x14ac:dyDescent="0.2">
      <c r="A282" s="29">
        <v>22</v>
      </c>
      <c r="B282" t="s">
        <v>85</v>
      </c>
      <c r="C282">
        <v>4</v>
      </c>
      <c r="D282">
        <v>3</v>
      </c>
      <c r="E282">
        <v>2</v>
      </c>
      <c r="F282">
        <v>8</v>
      </c>
      <c r="G282">
        <v>100</v>
      </c>
    </row>
    <row r="283" spans="1:7" x14ac:dyDescent="0.2">
      <c r="A283" s="29">
        <v>22</v>
      </c>
      <c r="B283" t="s">
        <v>85</v>
      </c>
      <c r="C283">
        <v>4</v>
      </c>
      <c r="D283">
        <v>3</v>
      </c>
      <c r="E283">
        <v>3</v>
      </c>
      <c r="F283">
        <v>8</v>
      </c>
      <c r="G283">
        <v>95</v>
      </c>
    </row>
    <row r="284" spans="1:7" x14ac:dyDescent="0.2">
      <c r="A284" s="29">
        <v>23</v>
      </c>
      <c r="B284" t="s">
        <v>125</v>
      </c>
      <c r="C284">
        <v>4</v>
      </c>
      <c r="D284">
        <v>3</v>
      </c>
      <c r="E284">
        <v>1</v>
      </c>
      <c r="F284">
        <v>8</v>
      </c>
      <c r="G284">
        <v>120</v>
      </c>
    </row>
    <row r="285" spans="1:7" x14ac:dyDescent="0.2">
      <c r="A285" s="29">
        <v>23</v>
      </c>
      <c r="B285" t="s">
        <v>125</v>
      </c>
      <c r="C285">
        <v>4</v>
      </c>
      <c r="D285">
        <v>3</v>
      </c>
      <c r="E285">
        <v>2</v>
      </c>
      <c r="F285">
        <v>8</v>
      </c>
      <c r="G285">
        <v>135</v>
      </c>
    </row>
    <row r="286" spans="1:7" x14ac:dyDescent="0.2">
      <c r="A286" s="29">
        <v>23</v>
      </c>
      <c r="B286" t="s">
        <v>125</v>
      </c>
      <c r="C286">
        <v>4</v>
      </c>
      <c r="D286">
        <v>3</v>
      </c>
      <c r="E286">
        <v>3</v>
      </c>
      <c r="F286">
        <v>8</v>
      </c>
      <c r="G286">
        <v>135</v>
      </c>
    </row>
    <row r="287" spans="1:7" x14ac:dyDescent="0.2">
      <c r="A287" s="29">
        <v>24</v>
      </c>
      <c r="B287" t="s">
        <v>124</v>
      </c>
      <c r="C287">
        <v>4</v>
      </c>
      <c r="D287">
        <v>3</v>
      </c>
      <c r="E287">
        <v>1</v>
      </c>
      <c r="F287">
        <v>8</v>
      </c>
      <c r="G287">
        <v>145</v>
      </c>
    </row>
    <row r="288" spans="1:7" x14ac:dyDescent="0.2">
      <c r="A288" s="29">
        <v>24</v>
      </c>
      <c r="B288" t="s">
        <v>124</v>
      </c>
      <c r="C288">
        <v>4</v>
      </c>
      <c r="D288">
        <v>3</v>
      </c>
      <c r="E288">
        <v>2</v>
      </c>
      <c r="F288">
        <v>8</v>
      </c>
      <c r="G288">
        <v>140</v>
      </c>
    </row>
    <row r="289" spans="1:7" x14ac:dyDescent="0.2">
      <c r="A289" s="29">
        <v>24</v>
      </c>
      <c r="B289" t="s">
        <v>124</v>
      </c>
      <c r="C289">
        <v>4</v>
      </c>
      <c r="D289">
        <v>3</v>
      </c>
      <c r="E289">
        <v>3</v>
      </c>
      <c r="F289">
        <v>8</v>
      </c>
      <c r="G289">
        <v>130</v>
      </c>
    </row>
    <row r="290" spans="1:7" x14ac:dyDescent="0.2">
      <c r="A290" s="29">
        <v>1</v>
      </c>
      <c r="B290" t="s">
        <v>82</v>
      </c>
      <c r="C290">
        <v>1</v>
      </c>
      <c r="D290">
        <v>3</v>
      </c>
      <c r="E290">
        <v>1</v>
      </c>
      <c r="F290">
        <v>10</v>
      </c>
      <c r="G290">
        <v>160</v>
      </c>
    </row>
    <row r="291" spans="1:7" x14ac:dyDescent="0.2">
      <c r="A291" s="29">
        <v>1</v>
      </c>
      <c r="B291" t="s">
        <v>82</v>
      </c>
      <c r="C291">
        <v>1</v>
      </c>
      <c r="D291">
        <v>3</v>
      </c>
      <c r="E291">
        <v>2</v>
      </c>
      <c r="F291">
        <v>10</v>
      </c>
      <c r="G291">
        <v>155</v>
      </c>
    </row>
    <row r="292" spans="1:7" x14ac:dyDescent="0.2">
      <c r="A292" s="29">
        <v>1</v>
      </c>
      <c r="B292" t="s">
        <v>82</v>
      </c>
      <c r="C292">
        <v>1</v>
      </c>
      <c r="D292">
        <v>3</v>
      </c>
      <c r="E292">
        <v>3</v>
      </c>
      <c r="F292">
        <v>10</v>
      </c>
      <c r="G292">
        <v>165</v>
      </c>
    </row>
    <row r="293" spans="1:7" x14ac:dyDescent="0.2">
      <c r="A293" s="29">
        <v>2</v>
      </c>
      <c r="B293" t="s">
        <v>83</v>
      </c>
      <c r="C293">
        <v>1</v>
      </c>
      <c r="D293">
        <v>3</v>
      </c>
      <c r="E293">
        <v>1</v>
      </c>
      <c r="F293">
        <v>10</v>
      </c>
      <c r="G293">
        <v>210</v>
      </c>
    </row>
    <row r="294" spans="1:7" x14ac:dyDescent="0.2">
      <c r="A294" s="29">
        <v>2</v>
      </c>
      <c r="B294" t="s">
        <v>83</v>
      </c>
      <c r="C294">
        <v>1</v>
      </c>
      <c r="D294">
        <v>3</v>
      </c>
      <c r="E294">
        <v>2</v>
      </c>
      <c r="F294">
        <v>10</v>
      </c>
      <c r="G294">
        <v>180</v>
      </c>
    </row>
    <row r="295" spans="1:7" x14ac:dyDescent="0.2">
      <c r="A295" s="29">
        <v>2</v>
      </c>
      <c r="B295" t="s">
        <v>83</v>
      </c>
      <c r="C295">
        <v>1</v>
      </c>
      <c r="D295">
        <v>3</v>
      </c>
      <c r="E295">
        <v>3</v>
      </c>
      <c r="F295">
        <v>10</v>
      </c>
      <c r="G295">
        <v>190</v>
      </c>
    </row>
    <row r="296" spans="1:7" x14ac:dyDescent="0.2">
      <c r="A296" s="29">
        <v>3</v>
      </c>
      <c r="B296" t="s">
        <v>120</v>
      </c>
      <c r="C296">
        <v>1</v>
      </c>
      <c r="D296">
        <v>3</v>
      </c>
      <c r="E296">
        <v>1</v>
      </c>
      <c r="F296">
        <v>10</v>
      </c>
      <c r="G296">
        <v>140</v>
      </c>
    </row>
    <row r="297" spans="1:7" x14ac:dyDescent="0.2">
      <c r="A297" s="29">
        <v>3</v>
      </c>
      <c r="B297" t="s">
        <v>120</v>
      </c>
      <c r="C297">
        <v>1</v>
      </c>
      <c r="D297">
        <v>3</v>
      </c>
      <c r="E297">
        <v>2</v>
      </c>
      <c r="F297">
        <v>10</v>
      </c>
      <c r="G297">
        <v>200</v>
      </c>
    </row>
    <row r="298" spans="1:7" x14ac:dyDescent="0.2">
      <c r="A298" s="29">
        <v>3</v>
      </c>
      <c r="B298" t="s">
        <v>120</v>
      </c>
      <c r="C298">
        <v>1</v>
      </c>
      <c r="D298">
        <v>3</v>
      </c>
      <c r="E298">
        <v>3</v>
      </c>
      <c r="F298">
        <v>10</v>
      </c>
      <c r="G298">
        <v>180</v>
      </c>
    </row>
    <row r="299" spans="1:7" x14ac:dyDescent="0.2">
      <c r="A299" s="29">
        <v>4</v>
      </c>
      <c r="B299" t="s">
        <v>85</v>
      </c>
      <c r="C299">
        <v>1</v>
      </c>
      <c r="D299">
        <v>3</v>
      </c>
      <c r="E299">
        <v>1</v>
      </c>
      <c r="F299">
        <v>10</v>
      </c>
    </row>
    <row r="300" spans="1:7" x14ac:dyDescent="0.2">
      <c r="A300" s="29">
        <v>4</v>
      </c>
      <c r="B300" t="s">
        <v>85</v>
      </c>
      <c r="C300">
        <v>1</v>
      </c>
      <c r="D300">
        <v>3</v>
      </c>
      <c r="E300">
        <v>2</v>
      </c>
      <c r="F300">
        <v>10</v>
      </c>
    </row>
    <row r="301" spans="1:7" x14ac:dyDescent="0.2">
      <c r="A301" s="29">
        <v>4</v>
      </c>
      <c r="B301" t="s">
        <v>85</v>
      </c>
      <c r="C301">
        <v>1</v>
      </c>
      <c r="D301">
        <v>3</v>
      </c>
      <c r="E301">
        <v>3</v>
      </c>
      <c r="F301">
        <v>10</v>
      </c>
    </row>
    <row r="302" spans="1:7" x14ac:dyDescent="0.2">
      <c r="A302" s="29">
        <v>5</v>
      </c>
      <c r="B302" t="s">
        <v>125</v>
      </c>
      <c r="C302">
        <v>1</v>
      </c>
      <c r="D302">
        <v>3</v>
      </c>
      <c r="E302">
        <v>1</v>
      </c>
      <c r="F302">
        <v>10</v>
      </c>
      <c r="G302">
        <v>180</v>
      </c>
    </row>
    <row r="303" spans="1:7" x14ac:dyDescent="0.2">
      <c r="A303" s="29">
        <v>5</v>
      </c>
      <c r="B303" t="s">
        <v>125</v>
      </c>
      <c r="C303">
        <v>1</v>
      </c>
      <c r="D303">
        <v>3</v>
      </c>
      <c r="E303">
        <v>2</v>
      </c>
      <c r="F303">
        <v>10</v>
      </c>
      <c r="G303">
        <v>200</v>
      </c>
    </row>
    <row r="304" spans="1:7" x14ac:dyDescent="0.2">
      <c r="A304" s="29">
        <v>5</v>
      </c>
      <c r="B304" t="s">
        <v>125</v>
      </c>
      <c r="C304">
        <v>1</v>
      </c>
      <c r="D304">
        <v>3</v>
      </c>
      <c r="E304">
        <v>3</v>
      </c>
      <c r="F304">
        <v>10</v>
      </c>
      <c r="G304">
        <v>130</v>
      </c>
    </row>
    <row r="305" spans="1:7" x14ac:dyDescent="0.2">
      <c r="A305" s="29">
        <v>6</v>
      </c>
      <c r="B305" t="s">
        <v>124</v>
      </c>
      <c r="C305">
        <v>1</v>
      </c>
      <c r="D305">
        <v>3</v>
      </c>
      <c r="E305">
        <v>1</v>
      </c>
      <c r="F305">
        <v>10</v>
      </c>
      <c r="G305">
        <v>180</v>
      </c>
    </row>
    <row r="306" spans="1:7" x14ac:dyDescent="0.2">
      <c r="A306" s="29">
        <v>6</v>
      </c>
      <c r="B306" t="s">
        <v>124</v>
      </c>
      <c r="C306">
        <v>1</v>
      </c>
      <c r="D306">
        <v>3</v>
      </c>
      <c r="E306">
        <v>2</v>
      </c>
      <c r="F306">
        <v>10</v>
      </c>
      <c r="G306">
        <v>185</v>
      </c>
    </row>
    <row r="307" spans="1:7" x14ac:dyDescent="0.2">
      <c r="A307" s="29">
        <v>6</v>
      </c>
      <c r="B307" t="s">
        <v>124</v>
      </c>
      <c r="C307">
        <v>1</v>
      </c>
      <c r="D307">
        <v>3</v>
      </c>
      <c r="E307">
        <v>3</v>
      </c>
      <c r="F307">
        <v>10</v>
      </c>
      <c r="G307">
        <v>155</v>
      </c>
    </row>
    <row r="308" spans="1:7" x14ac:dyDescent="0.2">
      <c r="A308" s="29">
        <v>7</v>
      </c>
      <c r="B308" t="s">
        <v>82</v>
      </c>
      <c r="C308">
        <v>2</v>
      </c>
      <c r="D308">
        <v>3</v>
      </c>
      <c r="E308">
        <v>1</v>
      </c>
      <c r="F308">
        <v>10</v>
      </c>
      <c r="G308">
        <v>200</v>
      </c>
    </row>
    <row r="309" spans="1:7" x14ac:dyDescent="0.2">
      <c r="A309" s="29">
        <v>7</v>
      </c>
      <c r="B309" t="s">
        <v>82</v>
      </c>
      <c r="C309">
        <v>2</v>
      </c>
      <c r="D309">
        <v>3</v>
      </c>
      <c r="E309">
        <v>2</v>
      </c>
      <c r="F309">
        <v>10</v>
      </c>
      <c r="G309">
        <v>220</v>
      </c>
    </row>
    <row r="310" spans="1:7" x14ac:dyDescent="0.2">
      <c r="A310" s="29">
        <v>7</v>
      </c>
      <c r="B310" t="s">
        <v>82</v>
      </c>
      <c r="C310">
        <v>2</v>
      </c>
      <c r="D310">
        <v>3</v>
      </c>
      <c r="E310">
        <v>3</v>
      </c>
      <c r="F310">
        <v>10</v>
      </c>
      <c r="G310">
        <v>210</v>
      </c>
    </row>
    <row r="311" spans="1:7" x14ac:dyDescent="0.2">
      <c r="A311" s="29">
        <v>8</v>
      </c>
      <c r="B311" t="s">
        <v>83</v>
      </c>
      <c r="C311">
        <v>2</v>
      </c>
      <c r="D311">
        <v>3</v>
      </c>
      <c r="E311">
        <v>1</v>
      </c>
      <c r="F311">
        <v>10</v>
      </c>
      <c r="G311">
        <v>230</v>
      </c>
    </row>
    <row r="312" spans="1:7" x14ac:dyDescent="0.2">
      <c r="A312" s="29">
        <v>8</v>
      </c>
      <c r="B312" t="s">
        <v>83</v>
      </c>
      <c r="C312">
        <v>2</v>
      </c>
      <c r="D312">
        <v>3</v>
      </c>
      <c r="E312">
        <v>2</v>
      </c>
      <c r="F312">
        <v>10</v>
      </c>
      <c r="G312">
        <v>110</v>
      </c>
    </row>
    <row r="313" spans="1:7" x14ac:dyDescent="0.2">
      <c r="A313" s="29">
        <v>8</v>
      </c>
      <c r="B313" t="s">
        <v>83</v>
      </c>
      <c r="C313">
        <v>2</v>
      </c>
      <c r="D313">
        <v>3</v>
      </c>
      <c r="E313">
        <v>3</v>
      </c>
      <c r="F313">
        <v>10</v>
      </c>
      <c r="G313">
        <v>170</v>
      </c>
    </row>
    <row r="314" spans="1:7" x14ac:dyDescent="0.2">
      <c r="A314" s="29">
        <v>9</v>
      </c>
      <c r="B314" t="s">
        <v>120</v>
      </c>
      <c r="C314">
        <v>2</v>
      </c>
      <c r="D314">
        <v>3</v>
      </c>
      <c r="E314">
        <v>1</v>
      </c>
      <c r="F314">
        <v>10</v>
      </c>
      <c r="G314">
        <v>200</v>
      </c>
    </row>
    <row r="315" spans="1:7" x14ac:dyDescent="0.2">
      <c r="A315" s="29">
        <v>9</v>
      </c>
      <c r="B315" t="s">
        <v>120</v>
      </c>
      <c r="C315">
        <v>2</v>
      </c>
      <c r="D315">
        <v>3</v>
      </c>
      <c r="E315">
        <v>2</v>
      </c>
      <c r="F315">
        <v>10</v>
      </c>
      <c r="G315">
        <v>190</v>
      </c>
    </row>
    <row r="316" spans="1:7" x14ac:dyDescent="0.2">
      <c r="A316" s="29">
        <v>9</v>
      </c>
      <c r="B316" t="s">
        <v>120</v>
      </c>
      <c r="C316">
        <v>2</v>
      </c>
      <c r="D316">
        <v>3</v>
      </c>
      <c r="E316">
        <v>3</v>
      </c>
      <c r="F316">
        <v>10</v>
      </c>
      <c r="G316">
        <v>210</v>
      </c>
    </row>
    <row r="317" spans="1:7" x14ac:dyDescent="0.2">
      <c r="A317" s="29">
        <v>10</v>
      </c>
      <c r="B317" t="s">
        <v>85</v>
      </c>
      <c r="C317">
        <v>2</v>
      </c>
      <c r="D317">
        <v>3</v>
      </c>
      <c r="E317">
        <v>1</v>
      </c>
      <c r="F317">
        <v>10</v>
      </c>
    </row>
    <row r="318" spans="1:7" x14ac:dyDescent="0.2">
      <c r="A318" s="29">
        <v>10</v>
      </c>
      <c r="B318" t="s">
        <v>85</v>
      </c>
      <c r="C318">
        <v>2</v>
      </c>
      <c r="D318">
        <v>3</v>
      </c>
      <c r="E318">
        <v>2</v>
      </c>
      <c r="F318">
        <v>10</v>
      </c>
    </row>
    <row r="319" spans="1:7" x14ac:dyDescent="0.2">
      <c r="A319" s="29">
        <v>10</v>
      </c>
      <c r="B319" t="s">
        <v>85</v>
      </c>
      <c r="C319">
        <v>2</v>
      </c>
      <c r="D319">
        <v>3</v>
      </c>
      <c r="E319">
        <v>3</v>
      </c>
      <c r="F319">
        <v>10</v>
      </c>
    </row>
    <row r="320" spans="1:7" x14ac:dyDescent="0.2">
      <c r="A320" s="29">
        <v>11</v>
      </c>
      <c r="B320" t="s">
        <v>125</v>
      </c>
      <c r="C320">
        <v>2</v>
      </c>
      <c r="D320">
        <v>3</v>
      </c>
      <c r="E320">
        <v>1</v>
      </c>
      <c r="F320">
        <v>10</v>
      </c>
    </row>
    <row r="321" spans="1:7" x14ac:dyDescent="0.2">
      <c r="A321" s="29">
        <v>11</v>
      </c>
      <c r="B321" t="s">
        <v>125</v>
      </c>
      <c r="C321">
        <v>2</v>
      </c>
      <c r="D321">
        <v>3</v>
      </c>
      <c r="E321">
        <v>2</v>
      </c>
      <c r="F321">
        <v>10</v>
      </c>
    </row>
    <row r="322" spans="1:7" x14ac:dyDescent="0.2">
      <c r="A322" s="29">
        <v>11</v>
      </c>
      <c r="B322" t="s">
        <v>125</v>
      </c>
      <c r="C322">
        <v>2</v>
      </c>
      <c r="D322">
        <v>3</v>
      </c>
      <c r="E322">
        <v>3</v>
      </c>
      <c r="F322">
        <v>10</v>
      </c>
    </row>
    <row r="323" spans="1:7" x14ac:dyDescent="0.2">
      <c r="A323" s="29">
        <v>12</v>
      </c>
      <c r="B323" t="s">
        <v>124</v>
      </c>
      <c r="C323">
        <v>2</v>
      </c>
      <c r="D323">
        <v>3</v>
      </c>
      <c r="E323">
        <v>1</v>
      </c>
      <c r="F323">
        <v>10</v>
      </c>
    </row>
    <row r="324" spans="1:7" x14ac:dyDescent="0.2">
      <c r="A324" s="29">
        <v>12</v>
      </c>
      <c r="B324" t="s">
        <v>124</v>
      </c>
      <c r="C324">
        <v>2</v>
      </c>
      <c r="D324">
        <v>3</v>
      </c>
      <c r="E324">
        <v>2</v>
      </c>
      <c r="F324">
        <v>10</v>
      </c>
    </row>
    <row r="325" spans="1:7" x14ac:dyDescent="0.2">
      <c r="A325" s="29">
        <v>12</v>
      </c>
      <c r="B325" t="s">
        <v>124</v>
      </c>
      <c r="C325">
        <v>2</v>
      </c>
      <c r="D325">
        <v>3</v>
      </c>
      <c r="E325">
        <v>3</v>
      </c>
      <c r="F325">
        <v>10</v>
      </c>
    </row>
    <row r="326" spans="1:7" x14ac:dyDescent="0.2">
      <c r="A326" s="29">
        <v>13</v>
      </c>
      <c r="B326" t="s">
        <v>82</v>
      </c>
      <c r="C326">
        <v>3</v>
      </c>
      <c r="D326">
        <v>3</v>
      </c>
      <c r="E326">
        <v>1</v>
      </c>
      <c r="F326">
        <v>10</v>
      </c>
      <c r="G326">
        <v>185</v>
      </c>
    </row>
    <row r="327" spans="1:7" x14ac:dyDescent="0.2">
      <c r="A327" s="29">
        <v>13</v>
      </c>
      <c r="B327" t="s">
        <v>82</v>
      </c>
      <c r="C327">
        <v>3</v>
      </c>
      <c r="D327">
        <v>3</v>
      </c>
      <c r="E327">
        <v>2</v>
      </c>
      <c r="F327">
        <v>10</v>
      </c>
      <c r="G327">
        <v>160</v>
      </c>
    </row>
    <row r="328" spans="1:7" x14ac:dyDescent="0.2">
      <c r="A328" s="29">
        <v>13</v>
      </c>
      <c r="B328" t="s">
        <v>82</v>
      </c>
      <c r="C328">
        <v>3</v>
      </c>
      <c r="D328">
        <v>3</v>
      </c>
      <c r="E328">
        <v>3</v>
      </c>
      <c r="F328">
        <v>10</v>
      </c>
      <c r="G328">
        <v>180</v>
      </c>
    </row>
    <row r="329" spans="1:7" x14ac:dyDescent="0.2">
      <c r="A329" s="29">
        <v>14</v>
      </c>
      <c r="B329" t="s">
        <v>83</v>
      </c>
      <c r="C329">
        <v>3</v>
      </c>
      <c r="D329">
        <v>3</v>
      </c>
      <c r="E329">
        <v>1</v>
      </c>
      <c r="F329">
        <v>10</v>
      </c>
      <c r="G329">
        <v>160</v>
      </c>
    </row>
    <row r="330" spans="1:7" x14ac:dyDescent="0.2">
      <c r="A330" s="29">
        <v>14</v>
      </c>
      <c r="B330" t="s">
        <v>83</v>
      </c>
      <c r="C330">
        <v>3</v>
      </c>
      <c r="D330">
        <v>3</v>
      </c>
      <c r="E330">
        <v>2</v>
      </c>
      <c r="F330">
        <v>10</v>
      </c>
      <c r="G330">
        <v>160</v>
      </c>
    </row>
    <row r="331" spans="1:7" x14ac:dyDescent="0.2">
      <c r="A331" s="29">
        <v>14</v>
      </c>
      <c r="B331" t="s">
        <v>83</v>
      </c>
      <c r="C331">
        <v>3</v>
      </c>
      <c r="D331">
        <v>3</v>
      </c>
      <c r="E331">
        <v>3</v>
      </c>
      <c r="F331">
        <v>10</v>
      </c>
      <c r="G331">
        <v>160</v>
      </c>
    </row>
    <row r="332" spans="1:7" x14ac:dyDescent="0.2">
      <c r="A332" s="29">
        <v>15</v>
      </c>
      <c r="B332" t="s">
        <v>120</v>
      </c>
      <c r="C332">
        <v>3</v>
      </c>
      <c r="D332">
        <v>3</v>
      </c>
      <c r="E332">
        <v>1</v>
      </c>
      <c r="F332">
        <v>10</v>
      </c>
      <c r="G332">
        <v>140</v>
      </c>
    </row>
    <row r="333" spans="1:7" x14ac:dyDescent="0.2">
      <c r="A333" s="29">
        <v>15</v>
      </c>
      <c r="B333" t="s">
        <v>120</v>
      </c>
      <c r="C333">
        <v>3</v>
      </c>
      <c r="D333">
        <v>3</v>
      </c>
      <c r="E333">
        <v>2</v>
      </c>
      <c r="F333">
        <v>10</v>
      </c>
      <c r="G333">
        <v>110</v>
      </c>
    </row>
    <row r="334" spans="1:7" x14ac:dyDescent="0.2">
      <c r="A334" s="29">
        <v>15</v>
      </c>
      <c r="B334" t="s">
        <v>120</v>
      </c>
      <c r="C334">
        <v>3</v>
      </c>
      <c r="D334">
        <v>3</v>
      </c>
      <c r="E334">
        <v>3</v>
      </c>
      <c r="F334">
        <v>10</v>
      </c>
      <c r="G334">
        <v>150</v>
      </c>
    </row>
    <row r="335" spans="1:7" x14ac:dyDescent="0.2">
      <c r="A335" s="29">
        <v>16</v>
      </c>
      <c r="B335" t="s">
        <v>85</v>
      </c>
      <c r="C335">
        <v>3</v>
      </c>
      <c r="D335">
        <v>3</v>
      </c>
      <c r="E335">
        <v>1</v>
      </c>
      <c r="F335">
        <v>10</v>
      </c>
      <c r="G335">
        <v>140</v>
      </c>
    </row>
    <row r="336" spans="1:7" x14ac:dyDescent="0.2">
      <c r="A336" s="29">
        <v>16</v>
      </c>
      <c r="B336" t="s">
        <v>85</v>
      </c>
      <c r="C336">
        <v>3</v>
      </c>
      <c r="D336">
        <v>3</v>
      </c>
      <c r="E336">
        <v>2</v>
      </c>
      <c r="F336">
        <v>10</v>
      </c>
      <c r="G336">
        <v>170</v>
      </c>
    </row>
    <row r="337" spans="1:7" x14ac:dyDescent="0.2">
      <c r="A337" s="29">
        <v>16</v>
      </c>
      <c r="B337" t="s">
        <v>85</v>
      </c>
      <c r="C337">
        <v>3</v>
      </c>
      <c r="D337">
        <v>3</v>
      </c>
      <c r="E337">
        <v>3</v>
      </c>
      <c r="F337">
        <v>10</v>
      </c>
      <c r="G337">
        <v>160</v>
      </c>
    </row>
    <row r="338" spans="1:7" x14ac:dyDescent="0.2">
      <c r="A338" s="29">
        <v>17</v>
      </c>
      <c r="B338" t="s">
        <v>125</v>
      </c>
      <c r="C338">
        <v>3</v>
      </c>
      <c r="D338">
        <v>3</v>
      </c>
      <c r="E338">
        <v>1</v>
      </c>
      <c r="F338">
        <v>10</v>
      </c>
      <c r="G338">
        <v>160</v>
      </c>
    </row>
    <row r="339" spans="1:7" x14ac:dyDescent="0.2">
      <c r="A339" s="29">
        <v>17</v>
      </c>
      <c r="B339" t="s">
        <v>125</v>
      </c>
      <c r="C339">
        <v>3</v>
      </c>
      <c r="D339">
        <v>3</v>
      </c>
      <c r="E339">
        <v>2</v>
      </c>
      <c r="F339">
        <v>10</v>
      </c>
      <c r="G339">
        <v>170</v>
      </c>
    </row>
    <row r="340" spans="1:7" x14ac:dyDescent="0.2">
      <c r="A340" s="29">
        <v>17</v>
      </c>
      <c r="B340" t="s">
        <v>125</v>
      </c>
      <c r="C340">
        <v>3</v>
      </c>
      <c r="D340">
        <v>3</v>
      </c>
      <c r="E340">
        <v>3</v>
      </c>
      <c r="F340">
        <v>10</v>
      </c>
      <c r="G340">
        <v>150</v>
      </c>
    </row>
    <row r="341" spans="1:7" x14ac:dyDescent="0.2">
      <c r="A341" s="29">
        <v>18</v>
      </c>
      <c r="B341" t="s">
        <v>124</v>
      </c>
      <c r="C341">
        <v>3</v>
      </c>
      <c r="D341">
        <v>3</v>
      </c>
      <c r="E341">
        <v>1</v>
      </c>
      <c r="F341">
        <v>10</v>
      </c>
      <c r="G341">
        <v>100</v>
      </c>
    </row>
    <row r="342" spans="1:7" x14ac:dyDescent="0.2">
      <c r="A342" s="29">
        <v>18</v>
      </c>
      <c r="B342" t="s">
        <v>124</v>
      </c>
      <c r="C342">
        <v>3</v>
      </c>
      <c r="D342">
        <v>3</v>
      </c>
      <c r="E342">
        <v>2</v>
      </c>
      <c r="F342">
        <v>10</v>
      </c>
      <c r="G342">
        <v>160</v>
      </c>
    </row>
    <row r="343" spans="1:7" x14ac:dyDescent="0.2">
      <c r="A343" s="29">
        <v>18</v>
      </c>
      <c r="B343" t="s">
        <v>124</v>
      </c>
      <c r="C343">
        <v>3</v>
      </c>
      <c r="D343">
        <v>3</v>
      </c>
      <c r="E343">
        <v>3</v>
      </c>
      <c r="F343">
        <v>10</v>
      </c>
      <c r="G343">
        <v>150</v>
      </c>
    </row>
    <row r="344" spans="1:7" x14ac:dyDescent="0.2">
      <c r="A344" s="29">
        <v>19</v>
      </c>
      <c r="B344" t="s">
        <v>82</v>
      </c>
      <c r="C344">
        <v>4</v>
      </c>
      <c r="D344">
        <v>3</v>
      </c>
      <c r="E344">
        <v>1</v>
      </c>
      <c r="F344">
        <v>10</v>
      </c>
    </row>
    <row r="345" spans="1:7" x14ac:dyDescent="0.2">
      <c r="A345" s="29">
        <v>19</v>
      </c>
      <c r="B345" t="s">
        <v>82</v>
      </c>
      <c r="C345">
        <v>4</v>
      </c>
      <c r="D345">
        <v>3</v>
      </c>
      <c r="E345">
        <v>2</v>
      </c>
      <c r="F345">
        <v>10</v>
      </c>
    </row>
    <row r="346" spans="1:7" x14ac:dyDescent="0.2">
      <c r="A346" s="29">
        <v>19</v>
      </c>
      <c r="B346" t="s">
        <v>82</v>
      </c>
      <c r="C346">
        <v>4</v>
      </c>
      <c r="D346">
        <v>3</v>
      </c>
      <c r="E346">
        <v>3</v>
      </c>
      <c r="F346">
        <v>10</v>
      </c>
    </row>
    <row r="347" spans="1:7" x14ac:dyDescent="0.2">
      <c r="A347" s="29">
        <v>20</v>
      </c>
      <c r="B347" t="s">
        <v>83</v>
      </c>
      <c r="C347">
        <v>4</v>
      </c>
      <c r="D347">
        <v>3</v>
      </c>
      <c r="E347">
        <v>1</v>
      </c>
      <c r="F347">
        <v>10</v>
      </c>
      <c r="G347">
        <v>170</v>
      </c>
    </row>
    <row r="348" spans="1:7" x14ac:dyDescent="0.2">
      <c r="A348" s="29">
        <v>20</v>
      </c>
      <c r="B348" t="s">
        <v>83</v>
      </c>
      <c r="C348">
        <v>4</v>
      </c>
      <c r="D348">
        <v>3</v>
      </c>
      <c r="E348">
        <v>2</v>
      </c>
      <c r="F348">
        <v>10</v>
      </c>
      <c r="G348">
        <v>110</v>
      </c>
    </row>
    <row r="349" spans="1:7" x14ac:dyDescent="0.2">
      <c r="A349" s="29">
        <v>20</v>
      </c>
      <c r="B349" t="s">
        <v>83</v>
      </c>
      <c r="C349">
        <v>4</v>
      </c>
      <c r="D349">
        <v>3</v>
      </c>
      <c r="E349">
        <v>3</v>
      </c>
      <c r="F349">
        <v>10</v>
      </c>
      <c r="G349">
        <v>180</v>
      </c>
    </row>
    <row r="350" spans="1:7" x14ac:dyDescent="0.2">
      <c r="A350" s="29">
        <v>21</v>
      </c>
      <c r="B350" t="s">
        <v>120</v>
      </c>
      <c r="C350">
        <v>4</v>
      </c>
      <c r="D350">
        <v>3</v>
      </c>
      <c r="E350">
        <v>1</v>
      </c>
      <c r="F350">
        <v>10</v>
      </c>
      <c r="G350">
        <v>110</v>
      </c>
    </row>
    <row r="351" spans="1:7" x14ac:dyDescent="0.2">
      <c r="A351" s="29">
        <v>21</v>
      </c>
      <c r="B351" t="s">
        <v>120</v>
      </c>
      <c r="C351">
        <v>4</v>
      </c>
      <c r="D351">
        <v>3</v>
      </c>
      <c r="E351">
        <v>2</v>
      </c>
      <c r="F351">
        <v>10</v>
      </c>
      <c r="G351">
        <v>80</v>
      </c>
    </row>
    <row r="352" spans="1:7" x14ac:dyDescent="0.2">
      <c r="A352" s="29">
        <v>21</v>
      </c>
      <c r="B352" t="s">
        <v>120</v>
      </c>
      <c r="C352">
        <v>4</v>
      </c>
      <c r="D352">
        <v>3</v>
      </c>
      <c r="E352">
        <v>3</v>
      </c>
      <c r="F352">
        <v>10</v>
      </c>
      <c r="G352">
        <v>150</v>
      </c>
    </row>
    <row r="353" spans="1:7" x14ac:dyDescent="0.2">
      <c r="A353" s="29">
        <v>22</v>
      </c>
      <c r="B353" t="s">
        <v>85</v>
      </c>
      <c r="C353">
        <v>4</v>
      </c>
      <c r="D353">
        <v>3</v>
      </c>
      <c r="E353">
        <v>1</v>
      </c>
      <c r="F353">
        <v>10</v>
      </c>
      <c r="G353">
        <v>170</v>
      </c>
    </row>
    <row r="354" spans="1:7" x14ac:dyDescent="0.2">
      <c r="A354" s="29">
        <v>22</v>
      </c>
      <c r="B354" t="s">
        <v>85</v>
      </c>
      <c r="C354">
        <v>4</v>
      </c>
      <c r="D354">
        <v>3</v>
      </c>
      <c r="E354">
        <v>2</v>
      </c>
      <c r="F354">
        <v>10</v>
      </c>
      <c r="G354">
        <v>120</v>
      </c>
    </row>
    <row r="355" spans="1:7" x14ac:dyDescent="0.2">
      <c r="A355" s="29">
        <v>22</v>
      </c>
      <c r="B355" t="s">
        <v>85</v>
      </c>
      <c r="C355">
        <v>4</v>
      </c>
      <c r="D355">
        <v>3</v>
      </c>
      <c r="E355">
        <v>3</v>
      </c>
      <c r="F355">
        <v>10</v>
      </c>
    </row>
    <row r="356" spans="1:7" x14ac:dyDescent="0.2">
      <c r="A356" s="29">
        <v>23</v>
      </c>
      <c r="B356" t="s">
        <v>125</v>
      </c>
      <c r="C356">
        <v>4</v>
      </c>
      <c r="D356">
        <v>3</v>
      </c>
      <c r="E356">
        <v>1</v>
      </c>
      <c r="F356">
        <v>10</v>
      </c>
      <c r="G356">
        <v>120</v>
      </c>
    </row>
    <row r="357" spans="1:7" x14ac:dyDescent="0.2">
      <c r="A357" s="29">
        <v>23</v>
      </c>
      <c r="B357" t="s">
        <v>125</v>
      </c>
      <c r="C357">
        <v>4</v>
      </c>
      <c r="D357">
        <v>3</v>
      </c>
      <c r="E357">
        <v>2</v>
      </c>
      <c r="F357">
        <v>10</v>
      </c>
      <c r="G357">
        <v>190</v>
      </c>
    </row>
    <row r="358" spans="1:7" x14ac:dyDescent="0.2">
      <c r="A358" s="29">
        <v>23</v>
      </c>
      <c r="B358" t="s">
        <v>125</v>
      </c>
      <c r="C358">
        <v>4</v>
      </c>
      <c r="D358">
        <v>3</v>
      </c>
      <c r="E358">
        <v>3</v>
      </c>
      <c r="F358">
        <v>10</v>
      </c>
      <c r="G358">
        <v>130</v>
      </c>
    </row>
    <row r="359" spans="1:7" x14ac:dyDescent="0.2">
      <c r="A359" s="29">
        <v>24</v>
      </c>
      <c r="B359" t="s">
        <v>124</v>
      </c>
      <c r="C359">
        <v>4</v>
      </c>
      <c r="D359">
        <v>3</v>
      </c>
      <c r="E359">
        <v>1</v>
      </c>
      <c r="F359">
        <v>10</v>
      </c>
      <c r="G359">
        <v>180</v>
      </c>
    </row>
    <row r="360" spans="1:7" x14ac:dyDescent="0.2">
      <c r="A360" s="29">
        <v>24</v>
      </c>
      <c r="B360" t="s">
        <v>124</v>
      </c>
      <c r="C360">
        <v>4</v>
      </c>
      <c r="D360">
        <v>3</v>
      </c>
      <c r="E360">
        <v>2</v>
      </c>
      <c r="F360">
        <v>10</v>
      </c>
      <c r="G360">
        <v>210</v>
      </c>
    </row>
    <row r="361" spans="1:7" x14ac:dyDescent="0.2">
      <c r="A361" s="29">
        <v>24</v>
      </c>
      <c r="B361" t="s">
        <v>124</v>
      </c>
      <c r="C361">
        <v>4</v>
      </c>
      <c r="D361">
        <v>3</v>
      </c>
      <c r="E361">
        <v>3</v>
      </c>
      <c r="F361">
        <v>10</v>
      </c>
      <c r="G361">
        <v>180</v>
      </c>
    </row>
    <row r="362" spans="1:7" x14ac:dyDescent="0.2">
      <c r="A362" s="29">
        <v>1</v>
      </c>
      <c r="B362" t="s">
        <v>82</v>
      </c>
      <c r="C362">
        <v>1</v>
      </c>
      <c r="D362">
        <v>4</v>
      </c>
      <c r="E362">
        <v>1</v>
      </c>
      <c r="F362">
        <v>13</v>
      </c>
      <c r="G362">
        <v>250</v>
      </c>
    </row>
    <row r="363" spans="1:7" x14ac:dyDescent="0.2">
      <c r="A363" s="29">
        <v>1</v>
      </c>
      <c r="B363" t="s">
        <v>82</v>
      </c>
      <c r="C363">
        <v>1</v>
      </c>
      <c r="D363">
        <v>4</v>
      </c>
      <c r="E363">
        <v>2</v>
      </c>
      <c r="F363">
        <v>13</v>
      </c>
      <c r="G363">
        <v>280</v>
      </c>
    </row>
    <row r="364" spans="1:7" x14ac:dyDescent="0.2">
      <c r="A364" s="29">
        <v>1</v>
      </c>
      <c r="B364" t="s">
        <v>82</v>
      </c>
      <c r="C364">
        <v>1</v>
      </c>
      <c r="D364">
        <v>4</v>
      </c>
      <c r="E364">
        <v>3</v>
      </c>
      <c r="F364">
        <v>13</v>
      </c>
      <c r="G364">
        <v>270</v>
      </c>
    </row>
    <row r="365" spans="1:7" x14ac:dyDescent="0.2">
      <c r="A365" s="29">
        <v>2</v>
      </c>
      <c r="B365" t="s">
        <v>83</v>
      </c>
      <c r="C365">
        <v>1</v>
      </c>
      <c r="D365">
        <v>4</v>
      </c>
      <c r="E365">
        <v>1</v>
      </c>
      <c r="F365">
        <v>13</v>
      </c>
      <c r="G365">
        <v>270</v>
      </c>
    </row>
    <row r="366" spans="1:7" x14ac:dyDescent="0.2">
      <c r="A366" s="29">
        <v>2</v>
      </c>
      <c r="B366" t="s">
        <v>83</v>
      </c>
      <c r="C366">
        <v>1</v>
      </c>
      <c r="D366">
        <v>4</v>
      </c>
      <c r="E366">
        <v>2</v>
      </c>
      <c r="F366">
        <v>13</v>
      </c>
      <c r="G366">
        <v>260</v>
      </c>
    </row>
    <row r="367" spans="1:7" x14ac:dyDescent="0.2">
      <c r="A367" s="29">
        <v>2</v>
      </c>
      <c r="B367" t="s">
        <v>83</v>
      </c>
      <c r="C367">
        <v>1</v>
      </c>
      <c r="D367">
        <v>4</v>
      </c>
      <c r="E367">
        <v>3</v>
      </c>
      <c r="F367">
        <v>13</v>
      </c>
      <c r="G367">
        <v>290</v>
      </c>
    </row>
    <row r="368" spans="1:7" x14ac:dyDescent="0.2">
      <c r="A368" s="29">
        <v>3</v>
      </c>
      <c r="B368" t="s">
        <v>120</v>
      </c>
      <c r="C368">
        <v>1</v>
      </c>
      <c r="D368">
        <v>4</v>
      </c>
      <c r="E368">
        <v>1</v>
      </c>
      <c r="F368">
        <v>13</v>
      </c>
      <c r="G368">
        <v>290</v>
      </c>
    </row>
    <row r="369" spans="1:7" x14ac:dyDescent="0.2">
      <c r="A369" s="29">
        <v>3</v>
      </c>
      <c r="B369" t="s">
        <v>120</v>
      </c>
      <c r="C369">
        <v>1</v>
      </c>
      <c r="D369">
        <v>4</v>
      </c>
      <c r="E369">
        <v>2</v>
      </c>
      <c r="F369">
        <v>13</v>
      </c>
      <c r="G369">
        <v>280</v>
      </c>
    </row>
    <row r="370" spans="1:7" x14ac:dyDescent="0.2">
      <c r="A370" s="29">
        <v>3</v>
      </c>
      <c r="B370" t="s">
        <v>120</v>
      </c>
      <c r="C370">
        <v>1</v>
      </c>
      <c r="D370">
        <v>4</v>
      </c>
      <c r="E370">
        <v>3</v>
      </c>
      <c r="F370">
        <v>13</v>
      </c>
      <c r="G370">
        <v>280</v>
      </c>
    </row>
    <row r="371" spans="1:7" x14ac:dyDescent="0.2">
      <c r="A371" s="29">
        <v>4</v>
      </c>
      <c r="B371" t="s">
        <v>85</v>
      </c>
      <c r="C371">
        <v>1</v>
      </c>
      <c r="D371">
        <v>4</v>
      </c>
      <c r="E371">
        <v>1</v>
      </c>
      <c r="F371">
        <v>13</v>
      </c>
    </row>
    <row r="372" spans="1:7" x14ac:dyDescent="0.2">
      <c r="A372" s="29">
        <v>4</v>
      </c>
      <c r="B372" t="s">
        <v>85</v>
      </c>
      <c r="C372">
        <v>1</v>
      </c>
      <c r="D372">
        <v>4</v>
      </c>
      <c r="E372">
        <v>2</v>
      </c>
      <c r="F372">
        <v>13</v>
      </c>
    </row>
    <row r="373" spans="1:7" x14ac:dyDescent="0.2">
      <c r="A373" s="29">
        <v>4</v>
      </c>
      <c r="B373" t="s">
        <v>85</v>
      </c>
      <c r="C373">
        <v>1</v>
      </c>
      <c r="D373">
        <v>4</v>
      </c>
      <c r="E373">
        <v>3</v>
      </c>
      <c r="F373">
        <v>13</v>
      </c>
    </row>
    <row r="374" spans="1:7" x14ac:dyDescent="0.2">
      <c r="A374" s="29">
        <v>5</v>
      </c>
      <c r="B374" t="s">
        <v>125</v>
      </c>
      <c r="C374">
        <v>1</v>
      </c>
      <c r="D374">
        <v>4</v>
      </c>
      <c r="E374">
        <v>1</v>
      </c>
      <c r="F374">
        <v>13</v>
      </c>
      <c r="G374">
        <v>270</v>
      </c>
    </row>
    <row r="375" spans="1:7" x14ac:dyDescent="0.2">
      <c r="A375" s="29">
        <v>5</v>
      </c>
      <c r="B375" t="s">
        <v>125</v>
      </c>
      <c r="C375">
        <v>1</v>
      </c>
      <c r="D375">
        <v>4</v>
      </c>
      <c r="E375">
        <v>2</v>
      </c>
      <c r="F375">
        <v>13</v>
      </c>
    </row>
    <row r="376" spans="1:7" x14ac:dyDescent="0.2">
      <c r="A376" s="29">
        <v>5</v>
      </c>
      <c r="B376" t="s">
        <v>125</v>
      </c>
      <c r="C376">
        <v>1</v>
      </c>
      <c r="D376">
        <v>4</v>
      </c>
      <c r="E376">
        <v>3</v>
      </c>
      <c r="F376">
        <v>13</v>
      </c>
    </row>
    <row r="377" spans="1:7" x14ac:dyDescent="0.2">
      <c r="A377" s="29">
        <v>6</v>
      </c>
      <c r="B377" t="s">
        <v>124</v>
      </c>
      <c r="C377">
        <v>1</v>
      </c>
      <c r="D377">
        <v>4</v>
      </c>
      <c r="E377">
        <v>1</v>
      </c>
      <c r="F377">
        <v>13</v>
      </c>
    </row>
    <row r="378" spans="1:7" x14ac:dyDescent="0.2">
      <c r="A378" s="29">
        <v>6</v>
      </c>
      <c r="B378" t="s">
        <v>124</v>
      </c>
      <c r="C378">
        <v>1</v>
      </c>
      <c r="D378">
        <v>4</v>
      </c>
      <c r="E378">
        <v>2</v>
      </c>
      <c r="F378">
        <v>13</v>
      </c>
    </row>
    <row r="379" spans="1:7" x14ac:dyDescent="0.2">
      <c r="A379" s="29">
        <v>6</v>
      </c>
      <c r="B379" t="s">
        <v>124</v>
      </c>
      <c r="C379">
        <v>1</v>
      </c>
      <c r="D379">
        <v>4</v>
      </c>
      <c r="E379">
        <v>3</v>
      </c>
      <c r="F379">
        <v>13</v>
      </c>
    </row>
    <row r="380" spans="1:7" x14ac:dyDescent="0.2">
      <c r="A380" s="29">
        <v>7</v>
      </c>
      <c r="B380" t="s">
        <v>82</v>
      </c>
      <c r="C380">
        <v>2</v>
      </c>
      <c r="D380">
        <v>4</v>
      </c>
      <c r="E380">
        <v>1</v>
      </c>
      <c r="F380">
        <v>13</v>
      </c>
      <c r="G380">
        <v>270</v>
      </c>
    </row>
    <row r="381" spans="1:7" x14ac:dyDescent="0.2">
      <c r="A381" s="29">
        <v>7</v>
      </c>
      <c r="B381" t="s">
        <v>82</v>
      </c>
      <c r="C381">
        <v>2</v>
      </c>
      <c r="D381">
        <v>4</v>
      </c>
      <c r="E381">
        <v>2</v>
      </c>
      <c r="F381">
        <v>13</v>
      </c>
      <c r="G381">
        <v>260</v>
      </c>
    </row>
    <row r="382" spans="1:7" x14ac:dyDescent="0.2">
      <c r="A382" s="29">
        <v>7</v>
      </c>
      <c r="B382" t="s">
        <v>82</v>
      </c>
      <c r="C382">
        <v>2</v>
      </c>
      <c r="D382">
        <v>4</v>
      </c>
      <c r="E382">
        <v>3</v>
      </c>
      <c r="F382">
        <v>13</v>
      </c>
      <c r="G382">
        <v>260</v>
      </c>
    </row>
    <row r="383" spans="1:7" x14ac:dyDescent="0.2">
      <c r="A383" s="29">
        <v>8</v>
      </c>
      <c r="B383" t="s">
        <v>83</v>
      </c>
      <c r="C383">
        <v>2</v>
      </c>
      <c r="D383">
        <v>4</v>
      </c>
      <c r="E383">
        <v>1</v>
      </c>
      <c r="F383">
        <v>13</v>
      </c>
      <c r="G383">
        <v>280</v>
      </c>
    </row>
    <row r="384" spans="1:7" x14ac:dyDescent="0.2">
      <c r="A384" s="29">
        <v>8</v>
      </c>
      <c r="B384" t="s">
        <v>83</v>
      </c>
      <c r="C384">
        <v>2</v>
      </c>
      <c r="D384">
        <v>4</v>
      </c>
      <c r="E384">
        <v>2</v>
      </c>
      <c r="F384">
        <v>13</v>
      </c>
      <c r="G384">
        <v>290</v>
      </c>
    </row>
    <row r="385" spans="1:7" x14ac:dyDescent="0.2">
      <c r="A385" s="29">
        <v>8</v>
      </c>
      <c r="B385" t="s">
        <v>83</v>
      </c>
      <c r="C385">
        <v>2</v>
      </c>
      <c r="D385">
        <v>4</v>
      </c>
      <c r="E385">
        <v>3</v>
      </c>
      <c r="F385">
        <v>13</v>
      </c>
      <c r="G385">
        <v>290</v>
      </c>
    </row>
    <row r="386" spans="1:7" x14ac:dyDescent="0.2">
      <c r="A386" s="29">
        <v>9</v>
      </c>
      <c r="B386" t="s">
        <v>120</v>
      </c>
      <c r="C386">
        <v>2</v>
      </c>
      <c r="D386">
        <v>4</v>
      </c>
      <c r="E386">
        <v>1</v>
      </c>
      <c r="F386">
        <v>13</v>
      </c>
      <c r="G386">
        <v>250</v>
      </c>
    </row>
    <row r="387" spans="1:7" x14ac:dyDescent="0.2">
      <c r="A387" s="29">
        <v>9</v>
      </c>
      <c r="B387" t="s">
        <v>120</v>
      </c>
      <c r="C387">
        <v>2</v>
      </c>
      <c r="D387">
        <v>4</v>
      </c>
      <c r="E387">
        <v>2</v>
      </c>
      <c r="F387">
        <v>13</v>
      </c>
      <c r="G387">
        <v>270</v>
      </c>
    </row>
    <row r="388" spans="1:7" x14ac:dyDescent="0.2">
      <c r="A388" s="29">
        <v>9</v>
      </c>
      <c r="B388" t="s">
        <v>120</v>
      </c>
      <c r="C388">
        <v>2</v>
      </c>
      <c r="D388">
        <v>4</v>
      </c>
      <c r="E388">
        <v>3</v>
      </c>
      <c r="F388">
        <v>13</v>
      </c>
      <c r="G388">
        <v>180</v>
      </c>
    </row>
    <row r="389" spans="1:7" x14ac:dyDescent="0.2">
      <c r="A389" s="29">
        <v>10</v>
      </c>
      <c r="B389" t="s">
        <v>85</v>
      </c>
      <c r="C389">
        <v>2</v>
      </c>
      <c r="D389">
        <v>4</v>
      </c>
      <c r="E389">
        <v>1</v>
      </c>
      <c r="F389">
        <v>13</v>
      </c>
    </row>
    <row r="390" spans="1:7" x14ac:dyDescent="0.2">
      <c r="A390" s="29">
        <v>10</v>
      </c>
      <c r="B390" t="s">
        <v>85</v>
      </c>
      <c r="C390">
        <v>2</v>
      </c>
      <c r="D390">
        <v>4</v>
      </c>
      <c r="E390">
        <v>2</v>
      </c>
      <c r="F390">
        <v>13</v>
      </c>
    </row>
    <row r="391" spans="1:7" x14ac:dyDescent="0.2">
      <c r="A391" s="29">
        <v>10</v>
      </c>
      <c r="B391" t="s">
        <v>85</v>
      </c>
      <c r="C391">
        <v>2</v>
      </c>
      <c r="D391">
        <v>4</v>
      </c>
      <c r="E391">
        <v>3</v>
      </c>
      <c r="F391">
        <v>13</v>
      </c>
    </row>
    <row r="392" spans="1:7" x14ac:dyDescent="0.2">
      <c r="A392" s="29">
        <v>11</v>
      </c>
      <c r="B392" t="s">
        <v>125</v>
      </c>
      <c r="C392">
        <v>2</v>
      </c>
      <c r="D392">
        <v>4</v>
      </c>
      <c r="E392">
        <v>1</v>
      </c>
      <c r="F392">
        <v>13</v>
      </c>
    </row>
    <row r="393" spans="1:7" x14ac:dyDescent="0.2">
      <c r="A393" s="29">
        <v>11</v>
      </c>
      <c r="B393" t="s">
        <v>125</v>
      </c>
      <c r="C393">
        <v>2</v>
      </c>
      <c r="D393">
        <v>4</v>
      </c>
      <c r="E393">
        <v>2</v>
      </c>
      <c r="F393">
        <v>13</v>
      </c>
    </row>
    <row r="394" spans="1:7" x14ac:dyDescent="0.2">
      <c r="A394" s="29">
        <v>11</v>
      </c>
      <c r="B394" t="s">
        <v>125</v>
      </c>
      <c r="C394">
        <v>2</v>
      </c>
      <c r="D394">
        <v>4</v>
      </c>
      <c r="E394">
        <v>3</v>
      </c>
      <c r="F394">
        <v>13</v>
      </c>
    </row>
    <row r="395" spans="1:7" x14ac:dyDescent="0.2">
      <c r="A395" s="29">
        <v>12</v>
      </c>
      <c r="B395" t="s">
        <v>124</v>
      </c>
      <c r="C395">
        <v>2</v>
      </c>
      <c r="D395">
        <v>4</v>
      </c>
      <c r="E395">
        <v>1</v>
      </c>
      <c r="F395">
        <v>13</v>
      </c>
    </row>
    <row r="396" spans="1:7" x14ac:dyDescent="0.2">
      <c r="A396" s="29">
        <v>12</v>
      </c>
      <c r="B396" t="s">
        <v>124</v>
      </c>
      <c r="C396">
        <v>2</v>
      </c>
      <c r="D396">
        <v>4</v>
      </c>
      <c r="E396">
        <v>2</v>
      </c>
      <c r="F396">
        <v>13</v>
      </c>
    </row>
    <row r="397" spans="1:7" x14ac:dyDescent="0.2">
      <c r="A397" s="29">
        <v>12</v>
      </c>
      <c r="B397" t="s">
        <v>124</v>
      </c>
      <c r="C397">
        <v>2</v>
      </c>
      <c r="D397">
        <v>4</v>
      </c>
      <c r="E397">
        <v>3</v>
      </c>
      <c r="F397">
        <v>13</v>
      </c>
    </row>
    <row r="398" spans="1:7" x14ac:dyDescent="0.2">
      <c r="A398" s="29">
        <v>13</v>
      </c>
      <c r="B398" t="s">
        <v>82</v>
      </c>
      <c r="C398">
        <v>3</v>
      </c>
      <c r="D398">
        <v>4</v>
      </c>
      <c r="E398">
        <v>1</v>
      </c>
      <c r="F398">
        <v>13</v>
      </c>
      <c r="G398">
        <v>200</v>
      </c>
    </row>
    <row r="399" spans="1:7" x14ac:dyDescent="0.2">
      <c r="A399" s="29">
        <v>13</v>
      </c>
      <c r="B399" t="s">
        <v>82</v>
      </c>
      <c r="C399">
        <v>3</v>
      </c>
      <c r="D399">
        <v>4</v>
      </c>
      <c r="E399">
        <v>2</v>
      </c>
      <c r="F399">
        <v>13</v>
      </c>
      <c r="G399">
        <v>290</v>
      </c>
    </row>
    <row r="400" spans="1:7" x14ac:dyDescent="0.2">
      <c r="A400" s="29">
        <v>13</v>
      </c>
      <c r="B400" t="s">
        <v>82</v>
      </c>
      <c r="C400">
        <v>3</v>
      </c>
      <c r="D400">
        <v>4</v>
      </c>
      <c r="E400">
        <v>3</v>
      </c>
      <c r="F400">
        <v>13</v>
      </c>
      <c r="G400">
        <v>290</v>
      </c>
    </row>
    <row r="401" spans="1:7" x14ac:dyDescent="0.2">
      <c r="A401" s="29">
        <v>14</v>
      </c>
      <c r="B401" t="s">
        <v>83</v>
      </c>
      <c r="C401">
        <v>3</v>
      </c>
      <c r="D401">
        <v>4</v>
      </c>
      <c r="E401">
        <v>1</v>
      </c>
      <c r="F401">
        <v>13</v>
      </c>
      <c r="G401">
        <v>300</v>
      </c>
    </row>
    <row r="402" spans="1:7" x14ac:dyDescent="0.2">
      <c r="A402" s="29">
        <v>14</v>
      </c>
      <c r="B402" t="s">
        <v>83</v>
      </c>
      <c r="C402">
        <v>3</v>
      </c>
      <c r="D402">
        <v>4</v>
      </c>
      <c r="E402">
        <v>2</v>
      </c>
      <c r="F402">
        <v>13</v>
      </c>
      <c r="G402">
        <v>250</v>
      </c>
    </row>
    <row r="403" spans="1:7" x14ac:dyDescent="0.2">
      <c r="A403" s="29">
        <v>14</v>
      </c>
      <c r="B403" t="s">
        <v>83</v>
      </c>
      <c r="C403">
        <v>3</v>
      </c>
      <c r="D403">
        <v>4</v>
      </c>
      <c r="E403">
        <v>3</v>
      </c>
      <c r="F403">
        <v>13</v>
      </c>
      <c r="G403">
        <v>260</v>
      </c>
    </row>
    <row r="404" spans="1:7" x14ac:dyDescent="0.2">
      <c r="A404" s="29">
        <v>15</v>
      </c>
      <c r="B404" t="s">
        <v>120</v>
      </c>
      <c r="C404">
        <v>3</v>
      </c>
      <c r="D404">
        <v>4</v>
      </c>
      <c r="E404">
        <v>1</v>
      </c>
      <c r="F404">
        <v>13</v>
      </c>
      <c r="G404">
        <v>210</v>
      </c>
    </row>
    <row r="405" spans="1:7" x14ac:dyDescent="0.2">
      <c r="A405" s="29">
        <v>15</v>
      </c>
      <c r="B405" t="s">
        <v>120</v>
      </c>
      <c r="C405">
        <v>3</v>
      </c>
      <c r="D405">
        <v>4</v>
      </c>
      <c r="E405">
        <v>2</v>
      </c>
      <c r="F405">
        <v>13</v>
      </c>
      <c r="G405">
        <v>210</v>
      </c>
    </row>
    <row r="406" spans="1:7" x14ac:dyDescent="0.2">
      <c r="A406" s="29">
        <v>15</v>
      </c>
      <c r="B406" t="s">
        <v>120</v>
      </c>
      <c r="C406">
        <v>3</v>
      </c>
      <c r="D406">
        <v>4</v>
      </c>
      <c r="E406">
        <v>3</v>
      </c>
      <c r="F406">
        <v>13</v>
      </c>
      <c r="G406">
        <v>220</v>
      </c>
    </row>
    <row r="407" spans="1:7" x14ac:dyDescent="0.2">
      <c r="A407" s="29">
        <v>16</v>
      </c>
      <c r="B407" t="s">
        <v>85</v>
      </c>
      <c r="C407">
        <v>3</v>
      </c>
      <c r="D407">
        <v>4</v>
      </c>
      <c r="E407">
        <v>1</v>
      </c>
      <c r="F407">
        <v>13</v>
      </c>
      <c r="G407">
        <v>220</v>
      </c>
    </row>
    <row r="408" spans="1:7" x14ac:dyDescent="0.2">
      <c r="A408" s="29">
        <v>16</v>
      </c>
      <c r="B408" t="s">
        <v>85</v>
      </c>
      <c r="C408">
        <v>3</v>
      </c>
      <c r="D408">
        <v>4</v>
      </c>
      <c r="E408">
        <v>2</v>
      </c>
      <c r="F408">
        <v>13</v>
      </c>
      <c r="G408">
        <v>220</v>
      </c>
    </row>
    <row r="409" spans="1:7" x14ac:dyDescent="0.2">
      <c r="A409" s="29">
        <v>16</v>
      </c>
      <c r="B409" t="s">
        <v>85</v>
      </c>
      <c r="C409">
        <v>3</v>
      </c>
      <c r="D409">
        <v>4</v>
      </c>
      <c r="E409">
        <v>3</v>
      </c>
      <c r="F409">
        <v>13</v>
      </c>
      <c r="G409">
        <v>240</v>
      </c>
    </row>
    <row r="410" spans="1:7" x14ac:dyDescent="0.2">
      <c r="A410" s="29">
        <v>17</v>
      </c>
      <c r="B410" t="s">
        <v>125</v>
      </c>
      <c r="C410">
        <v>3</v>
      </c>
      <c r="D410">
        <v>4</v>
      </c>
      <c r="E410">
        <v>1</v>
      </c>
      <c r="F410">
        <v>13</v>
      </c>
      <c r="G410">
        <v>260</v>
      </c>
    </row>
    <row r="411" spans="1:7" x14ac:dyDescent="0.2">
      <c r="A411" s="29">
        <v>17</v>
      </c>
      <c r="B411" t="s">
        <v>125</v>
      </c>
      <c r="C411">
        <v>3</v>
      </c>
      <c r="D411">
        <v>4</v>
      </c>
      <c r="E411">
        <v>2</v>
      </c>
      <c r="F411">
        <v>13</v>
      </c>
      <c r="G411">
        <v>220</v>
      </c>
    </row>
    <row r="412" spans="1:7" x14ac:dyDescent="0.2">
      <c r="A412" s="29">
        <v>17</v>
      </c>
      <c r="B412" t="s">
        <v>125</v>
      </c>
      <c r="C412">
        <v>3</v>
      </c>
      <c r="D412">
        <v>4</v>
      </c>
      <c r="E412">
        <v>3</v>
      </c>
      <c r="F412">
        <v>13</v>
      </c>
      <c r="G412">
        <v>250</v>
      </c>
    </row>
    <row r="413" spans="1:7" x14ac:dyDescent="0.2">
      <c r="A413" s="29">
        <v>18</v>
      </c>
      <c r="B413" t="s">
        <v>124</v>
      </c>
      <c r="C413">
        <v>3</v>
      </c>
      <c r="D413">
        <v>4</v>
      </c>
      <c r="E413">
        <v>1</v>
      </c>
      <c r="F413">
        <v>13</v>
      </c>
      <c r="G413">
        <v>270</v>
      </c>
    </row>
    <row r="414" spans="1:7" x14ac:dyDescent="0.2">
      <c r="A414" s="29">
        <v>18</v>
      </c>
      <c r="B414" t="s">
        <v>124</v>
      </c>
      <c r="C414">
        <v>3</v>
      </c>
      <c r="D414">
        <v>4</v>
      </c>
      <c r="E414">
        <v>2</v>
      </c>
      <c r="F414">
        <v>13</v>
      </c>
      <c r="G414">
        <v>270</v>
      </c>
    </row>
    <row r="415" spans="1:7" x14ac:dyDescent="0.2">
      <c r="A415" s="29">
        <v>18</v>
      </c>
      <c r="B415" t="s">
        <v>124</v>
      </c>
      <c r="C415">
        <v>3</v>
      </c>
      <c r="D415">
        <v>4</v>
      </c>
      <c r="E415">
        <v>3</v>
      </c>
      <c r="F415">
        <v>13</v>
      </c>
      <c r="G415">
        <v>250</v>
      </c>
    </row>
    <row r="416" spans="1:7" x14ac:dyDescent="0.2">
      <c r="A416" s="29">
        <v>19</v>
      </c>
      <c r="B416" t="s">
        <v>82</v>
      </c>
      <c r="C416">
        <v>4</v>
      </c>
      <c r="D416">
        <v>4</v>
      </c>
      <c r="E416">
        <v>1</v>
      </c>
      <c r="F416">
        <v>13</v>
      </c>
    </row>
    <row r="417" spans="1:7" x14ac:dyDescent="0.2">
      <c r="A417" s="29">
        <v>19</v>
      </c>
      <c r="B417" t="s">
        <v>82</v>
      </c>
      <c r="C417">
        <v>4</v>
      </c>
      <c r="D417">
        <v>4</v>
      </c>
      <c r="E417">
        <v>2</v>
      </c>
      <c r="F417">
        <v>13</v>
      </c>
    </row>
    <row r="418" spans="1:7" x14ac:dyDescent="0.2">
      <c r="A418" s="29">
        <v>19</v>
      </c>
      <c r="B418" t="s">
        <v>82</v>
      </c>
      <c r="C418">
        <v>4</v>
      </c>
      <c r="D418">
        <v>4</v>
      </c>
      <c r="E418">
        <v>3</v>
      </c>
      <c r="F418">
        <v>13</v>
      </c>
    </row>
    <row r="419" spans="1:7" x14ac:dyDescent="0.2">
      <c r="A419" s="29">
        <v>20</v>
      </c>
      <c r="B419" t="s">
        <v>83</v>
      </c>
      <c r="C419">
        <v>4</v>
      </c>
      <c r="D419">
        <v>4</v>
      </c>
      <c r="E419">
        <v>1</v>
      </c>
      <c r="F419">
        <v>13</v>
      </c>
      <c r="G419">
        <v>200</v>
      </c>
    </row>
    <row r="420" spans="1:7" x14ac:dyDescent="0.2">
      <c r="A420" s="29">
        <v>20</v>
      </c>
      <c r="B420" t="s">
        <v>83</v>
      </c>
      <c r="C420">
        <v>4</v>
      </c>
      <c r="D420">
        <v>4</v>
      </c>
      <c r="E420">
        <v>2</v>
      </c>
      <c r="F420">
        <v>13</v>
      </c>
      <c r="G420">
        <v>210</v>
      </c>
    </row>
    <row r="421" spans="1:7" x14ac:dyDescent="0.2">
      <c r="A421" s="29">
        <v>20</v>
      </c>
      <c r="B421" t="s">
        <v>83</v>
      </c>
      <c r="C421">
        <v>4</v>
      </c>
      <c r="D421">
        <v>4</v>
      </c>
      <c r="E421">
        <v>3</v>
      </c>
      <c r="F421">
        <v>13</v>
      </c>
      <c r="G421">
        <v>210</v>
      </c>
    </row>
    <row r="422" spans="1:7" x14ac:dyDescent="0.2">
      <c r="A422" s="29">
        <v>21</v>
      </c>
      <c r="B422" t="s">
        <v>120</v>
      </c>
      <c r="C422">
        <v>4</v>
      </c>
      <c r="D422">
        <v>4</v>
      </c>
      <c r="E422">
        <v>1</v>
      </c>
      <c r="F422">
        <v>13</v>
      </c>
      <c r="G422">
        <v>230</v>
      </c>
    </row>
    <row r="423" spans="1:7" x14ac:dyDescent="0.2">
      <c r="A423" s="29">
        <v>21</v>
      </c>
      <c r="B423" t="s">
        <v>120</v>
      </c>
      <c r="C423">
        <v>4</v>
      </c>
      <c r="D423">
        <v>4</v>
      </c>
      <c r="E423">
        <v>2</v>
      </c>
      <c r="F423">
        <v>13</v>
      </c>
      <c r="G423">
        <v>210</v>
      </c>
    </row>
    <row r="424" spans="1:7" x14ac:dyDescent="0.2">
      <c r="A424" s="29">
        <v>21</v>
      </c>
      <c r="B424" t="s">
        <v>120</v>
      </c>
      <c r="C424">
        <v>4</v>
      </c>
      <c r="D424">
        <v>4</v>
      </c>
      <c r="E424">
        <v>3</v>
      </c>
      <c r="F424">
        <v>13</v>
      </c>
      <c r="G424">
        <v>250</v>
      </c>
    </row>
    <row r="425" spans="1:7" x14ac:dyDescent="0.2">
      <c r="A425" s="29">
        <v>22</v>
      </c>
      <c r="B425" t="s">
        <v>85</v>
      </c>
      <c r="C425">
        <v>4</v>
      </c>
      <c r="D425">
        <v>4</v>
      </c>
      <c r="E425">
        <v>1</v>
      </c>
      <c r="F425">
        <v>13</v>
      </c>
      <c r="G425">
        <v>210</v>
      </c>
    </row>
    <row r="426" spans="1:7" x14ac:dyDescent="0.2">
      <c r="A426" s="29">
        <v>22</v>
      </c>
      <c r="B426" t="s">
        <v>85</v>
      </c>
      <c r="C426">
        <v>4</v>
      </c>
      <c r="D426">
        <v>4</v>
      </c>
      <c r="E426">
        <v>2</v>
      </c>
      <c r="F426">
        <v>13</v>
      </c>
      <c r="G426">
        <v>210</v>
      </c>
    </row>
    <row r="427" spans="1:7" x14ac:dyDescent="0.2">
      <c r="A427" s="29">
        <v>22</v>
      </c>
      <c r="B427" t="s">
        <v>85</v>
      </c>
      <c r="C427">
        <v>4</v>
      </c>
      <c r="D427">
        <v>4</v>
      </c>
      <c r="E427">
        <v>3</v>
      </c>
      <c r="F427">
        <v>13</v>
      </c>
      <c r="G427">
        <v>220</v>
      </c>
    </row>
    <row r="428" spans="1:7" x14ac:dyDescent="0.2">
      <c r="A428" s="29">
        <v>23</v>
      </c>
      <c r="B428" t="s">
        <v>125</v>
      </c>
      <c r="C428">
        <v>4</v>
      </c>
      <c r="D428">
        <v>4</v>
      </c>
      <c r="E428">
        <v>1</v>
      </c>
      <c r="F428">
        <v>13</v>
      </c>
      <c r="G428">
        <v>220</v>
      </c>
    </row>
    <row r="429" spans="1:7" x14ac:dyDescent="0.2">
      <c r="A429" s="29">
        <v>23</v>
      </c>
      <c r="B429" t="s">
        <v>125</v>
      </c>
      <c r="C429">
        <v>4</v>
      </c>
      <c r="D429">
        <v>4</v>
      </c>
      <c r="E429">
        <v>2</v>
      </c>
      <c r="F429">
        <v>13</v>
      </c>
      <c r="G429">
        <v>200</v>
      </c>
    </row>
    <row r="430" spans="1:7" x14ac:dyDescent="0.2">
      <c r="A430" s="29">
        <v>23</v>
      </c>
      <c r="B430" t="s">
        <v>125</v>
      </c>
      <c r="C430">
        <v>4</v>
      </c>
      <c r="D430">
        <v>4</v>
      </c>
      <c r="E430">
        <v>3</v>
      </c>
      <c r="F430">
        <v>13</v>
      </c>
    </row>
    <row r="431" spans="1:7" x14ac:dyDescent="0.2">
      <c r="A431" s="29">
        <v>24</v>
      </c>
      <c r="B431" t="s">
        <v>124</v>
      </c>
      <c r="C431">
        <v>4</v>
      </c>
      <c r="D431">
        <v>4</v>
      </c>
      <c r="E431">
        <v>1</v>
      </c>
      <c r="F431">
        <v>13</v>
      </c>
      <c r="G431">
        <v>230</v>
      </c>
    </row>
    <row r="432" spans="1:7" x14ac:dyDescent="0.2">
      <c r="A432" s="29">
        <v>24</v>
      </c>
      <c r="B432" t="s">
        <v>124</v>
      </c>
      <c r="C432">
        <v>4</v>
      </c>
      <c r="D432">
        <v>4</v>
      </c>
      <c r="E432">
        <v>2</v>
      </c>
      <c r="F432">
        <v>13</v>
      </c>
      <c r="G432">
        <v>210</v>
      </c>
    </row>
    <row r="433" spans="1:7" x14ac:dyDescent="0.2">
      <c r="A433" s="29">
        <v>24</v>
      </c>
      <c r="B433" t="s">
        <v>124</v>
      </c>
      <c r="C433">
        <v>4</v>
      </c>
      <c r="D433">
        <v>4</v>
      </c>
      <c r="E433">
        <v>3</v>
      </c>
      <c r="F433">
        <v>13</v>
      </c>
      <c r="G433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E3440-808C-0644-BE28-2F4BB115B0A6}">
  <dimension ref="A1:Q25"/>
  <sheetViews>
    <sheetView workbookViewId="0">
      <selection activeCell="B1" sqref="B1:H1"/>
    </sheetView>
  </sheetViews>
  <sheetFormatPr baseColWidth="10" defaultRowHeight="16" x14ac:dyDescent="0.2"/>
  <cols>
    <col min="9" max="10" width="16.33203125" customWidth="1"/>
    <col min="11" max="11" width="14.5" customWidth="1"/>
    <col min="12" max="12" width="15.83203125" customWidth="1"/>
    <col min="13" max="13" width="17.33203125" customWidth="1"/>
  </cols>
  <sheetData>
    <row r="1" spans="1:17" x14ac:dyDescent="0.2">
      <c r="A1" s="29" t="s">
        <v>122</v>
      </c>
      <c r="B1" s="29" t="s">
        <v>123</v>
      </c>
      <c r="C1" s="29" t="s">
        <v>126</v>
      </c>
      <c r="D1" s="29" t="s">
        <v>78</v>
      </c>
      <c r="E1" s="29" t="s">
        <v>0</v>
      </c>
      <c r="F1" s="29" t="s">
        <v>19</v>
      </c>
      <c r="G1" s="29" t="s">
        <v>32</v>
      </c>
      <c r="H1" s="29" t="s">
        <v>45</v>
      </c>
      <c r="I1" s="29" t="s">
        <v>128</v>
      </c>
      <c r="J1" s="29"/>
      <c r="K1" s="29"/>
      <c r="L1" s="29"/>
      <c r="M1" s="29"/>
    </row>
    <row r="2" spans="1:17" x14ac:dyDescent="0.2">
      <c r="A2" s="29">
        <v>1</v>
      </c>
      <c r="B2" s="29" t="s">
        <v>82</v>
      </c>
      <c r="C2" s="29">
        <v>1</v>
      </c>
      <c r="D2" s="18">
        <v>1000000</v>
      </c>
      <c r="E2" s="18">
        <v>446250</v>
      </c>
      <c r="F2" s="18">
        <v>297500</v>
      </c>
      <c r="G2" s="18">
        <v>61250</v>
      </c>
      <c r="H2" s="18">
        <v>75000</v>
      </c>
      <c r="I2">
        <f>(H2/D2)*100</f>
        <v>7.5</v>
      </c>
    </row>
    <row r="3" spans="1:17" x14ac:dyDescent="0.2">
      <c r="A3" s="29">
        <v>2</v>
      </c>
      <c r="B3" s="29" t="s">
        <v>83</v>
      </c>
      <c r="C3" s="29">
        <v>1</v>
      </c>
      <c r="D3" s="18">
        <v>1000000</v>
      </c>
      <c r="E3" s="18">
        <v>240625</v>
      </c>
      <c r="F3" s="18">
        <v>140000</v>
      </c>
      <c r="G3" s="18">
        <v>161875</v>
      </c>
      <c r="H3" s="18">
        <v>82500</v>
      </c>
      <c r="I3">
        <f t="shared" ref="I3:I25" si="0">(H3/D3)*100</f>
        <v>8.25</v>
      </c>
    </row>
    <row r="4" spans="1:17" x14ac:dyDescent="0.2">
      <c r="A4" s="29">
        <v>3</v>
      </c>
      <c r="B4" s="29" t="s">
        <v>120</v>
      </c>
      <c r="C4" s="29">
        <v>1</v>
      </c>
      <c r="D4" s="18">
        <v>1000000</v>
      </c>
      <c r="E4" s="18">
        <v>262500</v>
      </c>
      <c r="F4" s="18">
        <v>122500</v>
      </c>
      <c r="G4" s="18">
        <v>105000</v>
      </c>
      <c r="H4" s="18">
        <v>40000</v>
      </c>
      <c r="I4">
        <f t="shared" si="0"/>
        <v>4</v>
      </c>
    </row>
    <row r="5" spans="1:17" x14ac:dyDescent="0.2">
      <c r="A5" s="29">
        <v>4</v>
      </c>
      <c r="B5" s="29" t="s">
        <v>85</v>
      </c>
      <c r="C5" s="29">
        <v>1</v>
      </c>
      <c r="D5" s="18">
        <v>1000000</v>
      </c>
      <c r="E5" s="18">
        <v>87500</v>
      </c>
      <c r="F5" s="18">
        <v>8750</v>
      </c>
      <c r="G5" s="18" t="s">
        <v>127</v>
      </c>
      <c r="H5" s="18">
        <v>2500</v>
      </c>
      <c r="I5">
        <f t="shared" si="0"/>
        <v>0.25</v>
      </c>
    </row>
    <row r="6" spans="1:17" x14ac:dyDescent="0.2">
      <c r="A6" s="29">
        <v>5</v>
      </c>
      <c r="B6" s="29" t="s">
        <v>125</v>
      </c>
      <c r="C6" s="29">
        <v>1</v>
      </c>
      <c r="D6" s="18">
        <v>1000000</v>
      </c>
      <c r="E6" s="5">
        <v>0</v>
      </c>
      <c r="F6" s="18">
        <v>0</v>
      </c>
      <c r="G6" s="18">
        <v>0</v>
      </c>
      <c r="H6" s="18">
        <v>0</v>
      </c>
      <c r="I6">
        <f t="shared" si="0"/>
        <v>0</v>
      </c>
      <c r="N6" s="18"/>
      <c r="O6" s="18"/>
      <c r="P6" s="18"/>
      <c r="Q6" s="18"/>
    </row>
    <row r="7" spans="1:17" x14ac:dyDescent="0.2">
      <c r="A7" s="29">
        <v>6</v>
      </c>
      <c r="B7" s="29" t="s">
        <v>124</v>
      </c>
      <c r="C7" s="29">
        <v>1</v>
      </c>
      <c r="D7" s="18">
        <v>1000000</v>
      </c>
      <c r="E7" s="5">
        <v>0</v>
      </c>
      <c r="F7" s="18">
        <v>0</v>
      </c>
      <c r="G7" s="18">
        <v>0</v>
      </c>
      <c r="H7" s="18">
        <v>0</v>
      </c>
      <c r="I7">
        <f t="shared" si="0"/>
        <v>0</v>
      </c>
      <c r="N7" s="18"/>
      <c r="O7" s="18"/>
      <c r="P7" s="18"/>
      <c r="Q7" s="67"/>
    </row>
    <row r="8" spans="1:17" x14ac:dyDescent="0.2">
      <c r="A8" s="29">
        <v>7</v>
      </c>
      <c r="B8" s="29" t="s">
        <v>82</v>
      </c>
      <c r="C8" s="29">
        <v>2</v>
      </c>
      <c r="D8" s="18">
        <v>1000000</v>
      </c>
      <c r="E8" s="5" t="s">
        <v>127</v>
      </c>
      <c r="F8" s="18">
        <v>131250</v>
      </c>
      <c r="G8" s="18">
        <v>78750</v>
      </c>
      <c r="H8" s="18">
        <v>37500</v>
      </c>
      <c r="I8">
        <f t="shared" si="0"/>
        <v>3.75</v>
      </c>
      <c r="N8" s="18"/>
      <c r="O8" s="18"/>
      <c r="P8" s="18"/>
      <c r="Q8" s="18"/>
    </row>
    <row r="9" spans="1:17" x14ac:dyDescent="0.2">
      <c r="A9" s="29">
        <v>8</v>
      </c>
      <c r="B9" s="29" t="s">
        <v>83</v>
      </c>
      <c r="C9" s="29">
        <v>2</v>
      </c>
      <c r="D9" s="18">
        <v>1000000</v>
      </c>
      <c r="E9" s="18">
        <v>214375</v>
      </c>
      <c r="F9" s="18">
        <v>74375</v>
      </c>
      <c r="G9" s="18">
        <v>74375</v>
      </c>
      <c r="H9" s="18">
        <v>20000</v>
      </c>
      <c r="I9">
        <f t="shared" si="0"/>
        <v>2</v>
      </c>
      <c r="N9" s="18"/>
      <c r="O9" s="18"/>
      <c r="P9" s="18"/>
      <c r="Q9" s="18"/>
    </row>
    <row r="10" spans="1:17" x14ac:dyDescent="0.2">
      <c r="A10" s="29">
        <v>9</v>
      </c>
      <c r="B10" s="29" t="s">
        <v>120</v>
      </c>
      <c r="C10" s="29">
        <v>2</v>
      </c>
      <c r="D10" s="18">
        <v>1000000</v>
      </c>
      <c r="E10" s="18">
        <v>210000</v>
      </c>
      <c r="F10" s="18">
        <v>56875</v>
      </c>
      <c r="G10" s="18">
        <v>113750</v>
      </c>
      <c r="H10" s="18">
        <v>80000</v>
      </c>
      <c r="I10">
        <f t="shared" si="0"/>
        <v>8</v>
      </c>
      <c r="N10" s="67"/>
      <c r="O10" s="67"/>
      <c r="P10" s="18"/>
      <c r="Q10" s="67"/>
    </row>
    <row r="11" spans="1:17" x14ac:dyDescent="0.2">
      <c r="A11" s="29">
        <v>10</v>
      </c>
      <c r="B11" s="29" t="s">
        <v>85</v>
      </c>
      <c r="C11" s="29">
        <v>2</v>
      </c>
      <c r="D11" s="18">
        <v>1000000</v>
      </c>
      <c r="E11" s="18">
        <v>61250</v>
      </c>
      <c r="F11" s="18">
        <v>4375</v>
      </c>
      <c r="G11" s="18">
        <v>8750</v>
      </c>
      <c r="H11" s="18">
        <v>0</v>
      </c>
      <c r="I11">
        <f t="shared" si="0"/>
        <v>0</v>
      </c>
      <c r="N11" s="67"/>
      <c r="O11" s="67"/>
      <c r="P11" s="18"/>
      <c r="Q11" s="67"/>
    </row>
    <row r="12" spans="1:17" x14ac:dyDescent="0.2">
      <c r="A12" s="29">
        <v>11</v>
      </c>
      <c r="B12" s="29" t="s">
        <v>125</v>
      </c>
      <c r="C12" s="29">
        <v>2</v>
      </c>
      <c r="D12" s="18">
        <v>1000000</v>
      </c>
      <c r="E12" s="5">
        <v>0</v>
      </c>
      <c r="F12" s="5">
        <v>0</v>
      </c>
      <c r="G12" s="18">
        <v>0</v>
      </c>
      <c r="H12" s="18">
        <v>0</v>
      </c>
      <c r="I12">
        <f t="shared" si="0"/>
        <v>0</v>
      </c>
      <c r="N12" s="67"/>
      <c r="O12" s="67"/>
      <c r="P12" s="18"/>
      <c r="Q12" s="67"/>
    </row>
    <row r="13" spans="1:17" x14ac:dyDescent="0.2">
      <c r="A13" s="29">
        <v>12</v>
      </c>
      <c r="B13" s="29" t="s">
        <v>124</v>
      </c>
      <c r="C13" s="29">
        <v>2</v>
      </c>
      <c r="D13" s="18">
        <v>1000000</v>
      </c>
      <c r="E13" s="5">
        <v>0</v>
      </c>
      <c r="F13" s="5">
        <v>0</v>
      </c>
      <c r="G13" s="18">
        <v>0</v>
      </c>
      <c r="H13" s="18">
        <v>0</v>
      </c>
      <c r="I13">
        <f t="shared" si="0"/>
        <v>0</v>
      </c>
    </row>
    <row r="14" spans="1:17" x14ac:dyDescent="0.2">
      <c r="A14" s="29">
        <v>13</v>
      </c>
      <c r="B14" s="29" t="s">
        <v>82</v>
      </c>
      <c r="C14" s="29">
        <v>3</v>
      </c>
      <c r="D14" s="18">
        <v>1000000</v>
      </c>
      <c r="E14" s="18">
        <v>253750</v>
      </c>
      <c r="F14" s="18">
        <v>105000</v>
      </c>
      <c r="G14" s="18">
        <v>131250</v>
      </c>
      <c r="H14" s="18">
        <v>105000</v>
      </c>
      <c r="I14">
        <f t="shared" si="0"/>
        <v>10.5</v>
      </c>
    </row>
    <row r="15" spans="1:17" x14ac:dyDescent="0.2">
      <c r="A15" s="29">
        <v>14</v>
      </c>
      <c r="B15" s="29" t="s">
        <v>83</v>
      </c>
      <c r="C15" s="29">
        <v>3</v>
      </c>
      <c r="D15" s="18">
        <v>1000000</v>
      </c>
      <c r="E15" s="18">
        <v>201250</v>
      </c>
      <c r="F15" s="18">
        <v>87500</v>
      </c>
      <c r="G15" s="18">
        <v>96250</v>
      </c>
      <c r="H15" s="18">
        <v>47500</v>
      </c>
      <c r="I15">
        <f t="shared" si="0"/>
        <v>4.75</v>
      </c>
    </row>
    <row r="16" spans="1:17" x14ac:dyDescent="0.2">
      <c r="A16" s="29">
        <v>15</v>
      </c>
      <c r="B16" s="29" t="s">
        <v>120</v>
      </c>
      <c r="C16" s="29">
        <v>3</v>
      </c>
      <c r="D16" s="18">
        <v>1000000</v>
      </c>
      <c r="E16" s="18">
        <v>231875</v>
      </c>
      <c r="F16" s="18">
        <v>91875</v>
      </c>
      <c r="G16" s="18">
        <v>96250</v>
      </c>
      <c r="H16" s="18">
        <v>55000</v>
      </c>
      <c r="I16">
        <f t="shared" si="0"/>
        <v>5.5</v>
      </c>
    </row>
    <row r="17" spans="1:9" x14ac:dyDescent="0.2">
      <c r="A17" s="29">
        <v>16</v>
      </c>
      <c r="B17" s="29" t="s">
        <v>85</v>
      </c>
      <c r="C17" s="29">
        <v>3</v>
      </c>
      <c r="D17" s="18">
        <v>1000000</v>
      </c>
      <c r="E17" s="18">
        <v>205625</v>
      </c>
      <c r="F17" s="18">
        <v>78750</v>
      </c>
      <c r="G17" s="18">
        <v>52500</v>
      </c>
      <c r="H17" s="18">
        <v>15000</v>
      </c>
      <c r="I17">
        <f t="shared" si="0"/>
        <v>1.5</v>
      </c>
    </row>
    <row r="18" spans="1:9" x14ac:dyDescent="0.2">
      <c r="A18" s="29">
        <v>17</v>
      </c>
      <c r="B18" s="29" t="s">
        <v>125</v>
      </c>
      <c r="C18" s="29">
        <v>3</v>
      </c>
      <c r="D18" s="18">
        <v>1000000</v>
      </c>
      <c r="E18" s="18">
        <v>275625</v>
      </c>
      <c r="F18" s="18">
        <v>157500</v>
      </c>
      <c r="G18" s="18">
        <v>113750</v>
      </c>
      <c r="H18" s="18">
        <v>90000</v>
      </c>
      <c r="I18">
        <f t="shared" si="0"/>
        <v>9</v>
      </c>
    </row>
    <row r="19" spans="1:9" x14ac:dyDescent="0.2">
      <c r="A19" s="29">
        <v>18</v>
      </c>
      <c r="B19" s="29" t="s">
        <v>124</v>
      </c>
      <c r="C19" s="29">
        <v>3</v>
      </c>
      <c r="D19" s="18">
        <v>1000000</v>
      </c>
      <c r="E19" s="18">
        <v>196875</v>
      </c>
      <c r="F19" s="18">
        <v>74375</v>
      </c>
      <c r="G19" s="18">
        <v>105000</v>
      </c>
      <c r="H19" s="18">
        <v>37500</v>
      </c>
      <c r="I19">
        <f t="shared" si="0"/>
        <v>3.75</v>
      </c>
    </row>
    <row r="20" spans="1:9" x14ac:dyDescent="0.2">
      <c r="A20" s="29">
        <v>19</v>
      </c>
      <c r="B20" s="29" t="s">
        <v>82</v>
      </c>
      <c r="C20" s="29">
        <v>4</v>
      </c>
      <c r="D20" s="18">
        <v>1000000</v>
      </c>
      <c r="E20" s="18">
        <v>61250</v>
      </c>
      <c r="F20" s="18">
        <v>26250</v>
      </c>
      <c r="G20" s="18">
        <v>13125</v>
      </c>
      <c r="H20" s="18">
        <v>0</v>
      </c>
      <c r="I20">
        <f t="shared" si="0"/>
        <v>0</v>
      </c>
    </row>
    <row r="21" spans="1:9" x14ac:dyDescent="0.2">
      <c r="A21" s="29">
        <v>20</v>
      </c>
      <c r="B21" s="29" t="s">
        <v>83</v>
      </c>
      <c r="C21" s="29">
        <v>4</v>
      </c>
      <c r="D21" s="18">
        <v>1000000</v>
      </c>
      <c r="E21" s="18">
        <v>332500</v>
      </c>
      <c r="F21" s="18">
        <v>179375</v>
      </c>
      <c r="G21" s="18">
        <v>288750</v>
      </c>
      <c r="H21" s="18">
        <v>135000</v>
      </c>
      <c r="I21">
        <f t="shared" si="0"/>
        <v>13.5</v>
      </c>
    </row>
    <row r="22" spans="1:9" x14ac:dyDescent="0.2">
      <c r="A22" s="29">
        <v>21</v>
      </c>
      <c r="B22" s="29" t="s">
        <v>120</v>
      </c>
      <c r="C22" s="29">
        <v>4</v>
      </c>
      <c r="D22" s="18">
        <v>1000000</v>
      </c>
      <c r="E22" s="18">
        <v>196875</v>
      </c>
      <c r="F22" s="18">
        <v>21875</v>
      </c>
      <c r="G22" s="18">
        <v>56875</v>
      </c>
      <c r="H22" s="18">
        <v>25000</v>
      </c>
      <c r="I22">
        <f t="shared" si="0"/>
        <v>2.5</v>
      </c>
    </row>
    <row r="23" spans="1:9" x14ac:dyDescent="0.2">
      <c r="A23" s="29">
        <v>22</v>
      </c>
      <c r="B23" s="29" t="s">
        <v>85</v>
      </c>
      <c r="C23" s="29">
        <v>4</v>
      </c>
      <c r="D23" s="18">
        <v>1000000</v>
      </c>
      <c r="E23" s="18">
        <v>0</v>
      </c>
      <c r="F23" s="5">
        <v>0</v>
      </c>
      <c r="G23" s="5">
        <v>0</v>
      </c>
      <c r="H23" s="18">
        <v>0</v>
      </c>
      <c r="I23">
        <f t="shared" si="0"/>
        <v>0</v>
      </c>
    </row>
    <row r="24" spans="1:9" x14ac:dyDescent="0.2">
      <c r="A24" s="29">
        <v>23</v>
      </c>
      <c r="B24" s="29" t="s">
        <v>125</v>
      </c>
      <c r="C24" s="29">
        <v>4</v>
      </c>
      <c r="D24" s="18">
        <v>1000000</v>
      </c>
      <c r="E24" s="18">
        <v>0</v>
      </c>
      <c r="F24" s="5">
        <v>0</v>
      </c>
      <c r="G24" s="5">
        <v>0</v>
      </c>
      <c r="H24" s="18">
        <v>0</v>
      </c>
      <c r="I24">
        <f t="shared" si="0"/>
        <v>0</v>
      </c>
    </row>
    <row r="25" spans="1:9" x14ac:dyDescent="0.2">
      <c r="A25" s="29">
        <v>24</v>
      </c>
      <c r="B25" s="29" t="s">
        <v>124</v>
      </c>
      <c r="C25" s="29">
        <v>4</v>
      </c>
      <c r="D25" s="18">
        <v>1000000</v>
      </c>
      <c r="E25" s="18">
        <v>0</v>
      </c>
      <c r="F25" s="5">
        <v>0</v>
      </c>
      <c r="G25" s="5">
        <v>0</v>
      </c>
      <c r="H25" s="18">
        <v>0</v>
      </c>
      <c r="I25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Well Plate Layout</vt:lpstr>
      <vt:lpstr>Larval Counts</vt:lpstr>
      <vt:lpstr>% Survival (Larval Counts)</vt:lpstr>
      <vt:lpstr>% Survival (Deep Bay Counts)</vt:lpstr>
      <vt:lpstr>Tank Count Totals</vt:lpstr>
      <vt:lpstr>Deep Bay Sizes</vt:lpstr>
      <vt:lpstr>Counts_MU42022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Denman Moody</dc:creator>
  <cp:lastModifiedBy>Marissa Wright-La Greca</cp:lastModifiedBy>
  <dcterms:created xsi:type="dcterms:W3CDTF">2022-08-05T20:04:14Z</dcterms:created>
  <dcterms:modified xsi:type="dcterms:W3CDTF">2025-03-20T22:11:51Z</dcterms:modified>
</cp:coreProperties>
</file>